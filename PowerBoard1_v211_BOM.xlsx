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anichstrasse-my.sharepoint.com/personal/simohausberger_office_htlinn_ac_at/Documents/Diplomarbeit_Infineon/B_HAUSBERGER/LEISTUNGSELEKTRONIK/A_PowerBoard1/"/>
    </mc:Choice>
  </mc:AlternateContent>
  <xr:revisionPtr revIDLastSave="326" documentId="13_ncr:1_{4D56CE64-7100-48FD-B1D1-93DDEB8AA8BB}" xr6:coauthVersionLast="47" xr6:coauthVersionMax="47" xr10:uidLastSave="{0DD45F3A-4401-4C8A-B7DA-5A0DE2647F5C}"/>
  <bookViews>
    <workbookView xWindow="22932" yWindow="-108" windowWidth="23256" windowHeight="12456" tabRatio="592" xr2:uid="{A5B73E12-7320-4633-B76A-4E79E18C61D1}"/>
  </bookViews>
  <sheets>
    <sheet name="PowerBoard1 v129" sheetId="1" r:id="rId1"/>
    <sheet name="Zusammengefasst v129" sheetId="2" r:id="rId2"/>
    <sheet name="Infineon, Würth" sheetId="3" r:id="rId3"/>
    <sheet name="Sonstige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" i="2" l="1"/>
  <c r="J5" i="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H17" i="4"/>
  <c r="H59" i="3"/>
  <c r="P3" i="2"/>
  <c r="P4" i="2"/>
  <c r="P61" i="2"/>
  <c r="P46" i="2"/>
  <c r="P73" i="2"/>
  <c r="P70" i="2"/>
  <c r="P47" i="2"/>
  <c r="P34" i="2"/>
  <c r="P35" i="2"/>
  <c r="P33" i="2"/>
  <c r="P31" i="2"/>
  <c r="P8" i="2"/>
  <c r="P43" i="2"/>
  <c r="P37" i="2"/>
  <c r="P71" i="2"/>
  <c r="P72" i="2"/>
  <c r="P67" i="2"/>
  <c r="P69" i="2"/>
  <c r="P68" i="2"/>
  <c r="P66" i="2"/>
  <c r="P38" i="2"/>
  <c r="P41" i="2"/>
  <c r="P40" i="2"/>
  <c r="P42" i="2"/>
  <c r="P39" i="2"/>
  <c r="P9" i="2"/>
  <c r="P10" i="2"/>
  <c r="P11" i="2"/>
  <c r="P12" i="2"/>
  <c r="P36" i="2"/>
  <c r="P17" i="2"/>
  <c r="P18" i="2"/>
  <c r="P14" i="2"/>
  <c r="P19" i="2"/>
  <c r="P23" i="2"/>
  <c r="P27" i="2"/>
  <c r="P28" i="2"/>
  <c r="P16" i="2"/>
  <c r="P15" i="2"/>
  <c r="P22" i="2"/>
  <c r="P21" i="2"/>
  <c r="P20" i="2"/>
  <c r="P24" i="2"/>
  <c r="P26" i="2"/>
  <c r="P13" i="2"/>
  <c r="P25" i="2"/>
  <c r="P45" i="2"/>
  <c r="P44" i="2"/>
  <c r="P29" i="2"/>
  <c r="P30" i="2"/>
  <c r="P32" i="2"/>
  <c r="P65" i="2"/>
  <c r="P62" i="2"/>
  <c r="P54" i="2"/>
  <c r="P55" i="2"/>
  <c r="P60" i="2"/>
  <c r="P56" i="2"/>
  <c r="P51" i="2"/>
  <c r="P50" i="2"/>
  <c r="P53" i="2"/>
  <c r="P59" i="2"/>
  <c r="P49" i="2"/>
  <c r="P64" i="2"/>
  <c r="P63" i="2"/>
  <c r="P57" i="2"/>
  <c r="P52" i="2"/>
  <c r="P48" i="2"/>
  <c r="P58" i="2"/>
  <c r="P2" i="2"/>
</calcChain>
</file>

<file path=xl/sharedStrings.xml><?xml version="1.0" encoding="utf-8"?>
<sst xmlns="http://schemas.openxmlformats.org/spreadsheetml/2006/main" count="3094" uniqueCount="569">
  <si>
    <t>Part</t>
  </si>
  <si>
    <t>Value</t>
  </si>
  <si>
    <t>Device</t>
  </si>
  <si>
    <t>Footprint Name</t>
  </si>
  <si>
    <t>Detailed Description</t>
  </si>
  <si>
    <t>DATASHEET-URL</t>
  </si>
  <si>
    <t>LENGTH</t>
  </si>
  <si>
    <t>MOUNT</t>
  </si>
  <si>
    <t>PAD-DIMENSION</t>
  </si>
  <si>
    <t>PART-NUMBER</t>
  </si>
  <si>
    <t>SIZE</t>
  </si>
  <si>
    <t>WIDTH</t>
  </si>
  <si>
    <t>C1</t>
  </si>
  <si>
    <t>10 µF</t>
  </si>
  <si>
    <t>WCAP-CSGP_50VDC_885012108022_1206_H1.6</t>
  </si>
  <si>
    <t>WCAP-CSGP_1206_H1.6</t>
  </si>
  <si>
    <t>WCAP-CSGP MLCCs 50 V(DC)</t>
  </si>
  <si>
    <t>https://www.we-online.com/redexpert/spec/885012108022?ae</t>
  </si>
  <si>
    <t>1.6mm</t>
  </si>
  <si>
    <t>3.2mm</t>
  </si>
  <si>
    <t>SMT</t>
  </si>
  <si>
    <t>0.6mm</t>
  </si>
  <si>
    <t>C2</t>
  </si>
  <si>
    <t>2.2 µF</t>
  </si>
  <si>
    <t>WCAP-CSGP_100VDC_885012208124_1206_H1.6</t>
  </si>
  <si>
    <t>WCAP-CSGP MLCCs 100 V(DC)</t>
  </si>
  <si>
    <t>https://www.we-online.com/redexpert/spec/885012208124?ae</t>
  </si>
  <si>
    <t>C3</t>
  </si>
  <si>
    <t>47 pF</t>
  </si>
  <si>
    <t>WCAP-CSGP_50VDC_885012007055_0805_H0.6_R</t>
  </si>
  <si>
    <t>WCAP-CSGP_0805_H0.6_R</t>
  </si>
  <si>
    <t>https://www.we-online.com/redexpert/spec/885012007055?ae</t>
  </si>
  <si>
    <t>2mm</t>
  </si>
  <si>
    <t>0.5mm</t>
  </si>
  <si>
    <t>1.25mm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</si>
  <si>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</si>
  <si>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</si>
  <si>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</si>
  <si>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</si>
  <si>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</si>
  <si>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</si>
  <si>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</si>
  <si>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</si>
  <si>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</si>
  <si>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</si>
  <si>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27 µF</t>
  </si>
  <si>
    <t>WCAP-ATUL_8X11.5_860040874001</t>
  </si>
  <si>
    <t>WCAP-ATUL_8X11.5(DXL)</t>
  </si>
  <si>
    <t>WCAP-ATUL Aluminum Electrolytic Capacitors</t>
  </si>
  <si>
    <t>https://www.we-online.com/redexpert/spec/860040874001?ae</t>
  </si>
  <si>
    <t>11.5mm</t>
  </si>
  <si>
    <t>C14</t>
  </si>
  <si>
    <t>C15</t>
  </si>
  <si>
    <t>C16</t>
  </si>
  <si>
    <t>1 µF</t>
  </si>
  <si>
    <t>WCAP-CSGP_100VDC_885012209069_1210_H2.0</t>
  </si>
  <si>
    <t>WCAP-CSGP_1210_H2.0</t>
  </si>
  <si>
    <t>https://www.we-online.com/redexpert/spec/885012209069?ae</t>
  </si>
  <si>
    <t>0.75mm</t>
  </si>
  <si>
    <t>2.5mm</t>
  </si>
  <si>
    <t>C17</t>
  </si>
  <si>
    <t>C18</t>
  </si>
  <si>
    <t>C19</t>
  </si>
  <si>
    <t>C20</t>
  </si>
  <si>
    <t>C21</t>
  </si>
  <si>
    <t>C22</t>
  </si>
  <si>
    <t>100 µF</t>
  </si>
  <si>
    <t>WCAP-ATUL_10X25_860040875005</t>
  </si>
  <si>
    <t>WCAP-ATUL_10X20(DXL)</t>
  </si>
  <si>
    <t>https://www.we-online.com/redexpert/spec/860040875005?ae</t>
  </si>
  <si>
    <t>25mm</t>
  </si>
  <si>
    <t>C23</t>
  </si>
  <si>
    <t>C24</t>
  </si>
  <si>
    <t>47 µF</t>
  </si>
  <si>
    <t>WCAP-ATUL_6.3X11_860040673002</t>
  </si>
  <si>
    <t>WCAP-ATUL_6.3X11(DXL)</t>
  </si>
  <si>
    <t>https://www.we-online.com/redexpert/spec/860040673002?ae</t>
  </si>
  <si>
    <t>11mm</t>
  </si>
  <si>
    <t>C25</t>
  </si>
  <si>
    <t>3.3 nF</t>
  </si>
  <si>
    <t>WCAP-CSGP_100VDC_885012007091_0805_H1.25_R</t>
  </si>
  <si>
    <t>WCAP-CSGP_0805_H1.25_R</t>
  </si>
  <si>
    <t>https://www.we-online.com/redexpert/spec/885012007091?ae</t>
  </si>
  <si>
    <t>C26</t>
  </si>
  <si>
    <t>68 pF</t>
  </si>
  <si>
    <t>WCAP-CSGP_50VDC_885012007056_0805_H0.6_R</t>
  </si>
  <si>
    <t>https://www.we-online.com/redexpert/spec/885012007056?ae</t>
  </si>
  <si>
    <t>C27</t>
  </si>
  <si>
    <t>C28</t>
  </si>
  <si>
    <t>C29</t>
  </si>
  <si>
    <t>C30</t>
  </si>
  <si>
    <t>C31</t>
  </si>
  <si>
    <t>WCAP-CSGP_10VDC_885012108012_1206_H1.6</t>
  </si>
  <si>
    <t>WCAP-CSGP MLCCs 10 V(DC)</t>
  </si>
  <si>
    <t>https://www.we-online.com/redexpert/spec/885012108012?ae</t>
  </si>
  <si>
    <t>C32</t>
  </si>
  <si>
    <t>C33</t>
  </si>
  <si>
    <t>C34</t>
  </si>
  <si>
    <t>4.7 nF</t>
  </si>
  <si>
    <t>WCAP-CSGP_100VDC_885012007092_0805_H1.25_R</t>
  </si>
  <si>
    <t>https://www.we-online.com/redexpert/spec/885012007092?ae</t>
  </si>
  <si>
    <t>C35</t>
  </si>
  <si>
    <t>1 nF</t>
  </si>
  <si>
    <t>WCAP-CSGP_50VDC_885012007063_0805_H0.8_R</t>
  </si>
  <si>
    <t>WCAP-CSGP_0805_H0.8_R</t>
  </si>
  <si>
    <t>https://www.we-online.com/redexpert/spec/885012007063?ae</t>
  </si>
  <si>
    <t>C36</t>
  </si>
  <si>
    <t>C37</t>
  </si>
  <si>
    <t>C38</t>
  </si>
  <si>
    <t>C39</t>
  </si>
  <si>
    <t>220 nF</t>
  </si>
  <si>
    <t>WCAP-CSGP_50VDC_885012207100_0805_H1.25_R</t>
  </si>
  <si>
    <t>https://www.we-online.com/redexpert/spec/885012207100?ae</t>
  </si>
  <si>
    <t>C40</t>
  </si>
  <si>
    <t>2.2 nF</t>
  </si>
  <si>
    <t>WCAP-CSGP_50VDC_885012007065_0805_H0.8_W</t>
  </si>
  <si>
    <t>WCAP-CSGP_0805_H0.8_W</t>
  </si>
  <si>
    <t>https://www.we-online.com/redexpert/spec/885012007065?ae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</si>
  <si>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</si>
  <si>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</si>
  <si>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</si>
  <si>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</si>
  <si>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</si>
  <si>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</si>
  <si>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</si>
  <si>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</si>
  <si>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</si>
  <si>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</si>
  <si>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</si>
  <si>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</si>
  <si>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</si>
  <si>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</si>
  <si>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WCAP-CSGP_100VDC_885012207119_0805_H0.8_R</t>
  </si>
  <si>
    <t>https://www.we-online.com/redexpert/spec/885012207119?ae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</si>
  <si>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</si>
  <si>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</si>
  <si>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</si>
  <si>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</si>
  <si>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</si>
  <si>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</si>
  <si>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</si>
  <si>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</si>
  <si>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</si>
  <si>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</si>
  <si>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</si>
  <si>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</si>
  <si>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100 nF</t>
  </si>
  <si>
    <t>WCAP-CSGP_100VDC_885012207128_0805_H1.25_R</t>
  </si>
  <si>
    <t>https://www.we-online.com/redexpert/spec/885012207128?ae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</si>
  <si>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</si>
  <si>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</si>
  <si>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</si>
  <si>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</si>
  <si>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</si>
  <si>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</si>
  <si>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</si>
  <si>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</si>
  <si>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</si>
  <si>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</si>
  <si>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</si>
  <si>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</si>
  <si>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</si>
  <si>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</si>
  <si>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D1</t>
  </si>
  <si>
    <t>150120BS75000</t>
  </si>
  <si>
    <t>WL-SMCW_1206_150120BS75000</t>
  </si>
  <si>
    <t>WL-SMCW_1206</t>
  </si>
  <si>
    <t>https://www.we-online.com/redexpert/spec/150120BS75000?ae</t>
  </si>
  <si>
    <t>Blue</t>
  </si>
  <si>
    <t>D2</t>
  </si>
  <si>
    <t>D3</t>
  </si>
  <si>
    <t>150120GS75000</t>
  </si>
  <si>
    <t>WL-SMCW_1206_150120GS75000</t>
  </si>
  <si>
    <t>https://www.we-online.com/redexpert/spec/150120GS75000?ae</t>
  </si>
  <si>
    <t>Green</t>
  </si>
  <si>
    <t>D4</t>
  </si>
  <si>
    <t>*</t>
  </si>
  <si>
    <t>BZX84C3V6LT1GBZX84C3V3LT1G_SOT95P240X111-3N</t>
  </si>
  <si>
    <t>BZX84C3V6LT1G</t>
  </si>
  <si>
    <t>D5</t>
  </si>
  <si>
    <t>D6</t>
  </si>
  <si>
    <t>D7</t>
  </si>
  <si>
    <t>D8</t>
  </si>
  <si>
    <t>150120RS75000</t>
  </si>
  <si>
    <t>WL-SMCW_1206_150120RS75000</t>
  </si>
  <si>
    <t>https://www.we-online.com/redexpert/spec/150120RS75000?ae</t>
  </si>
  <si>
    <t>Red</t>
  </si>
  <si>
    <t>D10</t>
  </si>
  <si>
    <t>G1</t>
  </si>
  <si>
    <t>TLS4125D0EP_V50</t>
  </si>
  <si>
    <t>SOP65P600X115-15N</t>
  </si>
  <si>
    <t>G2</t>
  </si>
  <si>
    <t>TLS208D1EJV</t>
  </si>
  <si>
    <t>SOIC127P600X170-9N-3</t>
  </si>
  <si>
    <t>G3</t>
  </si>
  <si>
    <t>TLS208D1EJV33</t>
  </si>
  <si>
    <t>GND</t>
  </si>
  <si>
    <t>RS-PRO-HEATSINK_789-8554</t>
  </si>
  <si>
    <t>RS-PRO-HEATSINK</t>
  </si>
  <si>
    <t>J1</t>
  </si>
  <si>
    <t>VDD_691219610002</t>
  </si>
  <si>
    <t>J2</t>
  </si>
  <si>
    <t>BLDC_691219610003</t>
  </si>
  <si>
    <t>J3</t>
  </si>
  <si>
    <t>6130XX11121_61300611121</t>
  </si>
  <si>
    <t>WR-PHD 2.54 mm THT Pin Header</t>
  </si>
  <si>
    <t>https://www.we-online.com/redexpert/spec/61300611121?ae</t>
  </si>
  <si>
    <t>THT</t>
  </si>
  <si>
    <t>J4</t>
  </si>
  <si>
    <t>WR-TBL Serie 3211 - 3.50 mm Vertical PCB Header</t>
  </si>
  <si>
    <t>https://www.we-online.com/redexpert/spec/691321100006?ae</t>
  </si>
  <si>
    <t>J5</t>
  </si>
  <si>
    <t>6200XX11121_62000311121</t>
  </si>
  <si>
    <t>WR-PHD 2.00 mm THT Pin Header</t>
  </si>
  <si>
    <t>https://www.we-online.com/redexpert/spec/62000311121?ae</t>
  </si>
  <si>
    <t>J6</t>
  </si>
  <si>
    <t>ERF8-040-05.0-L-DV-L-K-TR</t>
  </si>
  <si>
    <t>SAMTEC_ERF8-040-05.0-L-DV-L-K-TR</t>
  </si>
  <si>
    <t>J7</t>
  </si>
  <si>
    <t>J8</t>
  </si>
  <si>
    <t>J9</t>
  </si>
  <si>
    <t>J10</t>
  </si>
  <si>
    <t>J11</t>
  </si>
  <si>
    <t>HSEC8-160-01-X-DV-A-BL</t>
  </si>
  <si>
    <t>SAMTEC_HSEC8-160-01-X-DV-A-BL</t>
  </si>
  <si>
    <t>Samtec</t>
  </si>
  <si>
    <t>J12</t>
  </si>
  <si>
    <t>J13</t>
  </si>
  <si>
    <t>https://www.we-online.com/redexpert/spec/691321100004?ae</t>
  </si>
  <si>
    <t>J14</t>
  </si>
  <si>
    <t>L1</t>
  </si>
  <si>
    <t>22uH</t>
  </si>
  <si>
    <t>WE-PD_1210_7447709220</t>
  </si>
  <si>
    <t>WE-PD_1210</t>
  </si>
  <si>
    <t>WE-PD SMT Power Inductor</t>
  </si>
  <si>
    <t>https://www.we-online.com/redexpert/spec/7447709220?ae</t>
  </si>
  <si>
    <t>12mm</t>
  </si>
  <si>
    <t>L2</t>
  </si>
  <si>
    <t>15uH</t>
  </si>
  <si>
    <t>WE-PD_1210_7447709150</t>
  </si>
  <si>
    <t>https://www.we-online.com/redexpert/spec/7447709150?ae</t>
  </si>
  <si>
    <t>NTC1</t>
  </si>
  <si>
    <t>B57471V2104J062</t>
  </si>
  <si>
    <t>THRMC2012X130N</t>
  </si>
  <si>
    <t>Q1</t>
  </si>
  <si>
    <t>IRF100P218IRF100P218_IRF100P218_IRF100P218</t>
  </si>
  <si>
    <t>IRF100P218_IRF100P218</t>
  </si>
  <si>
    <t>IRF100P218</t>
  </si>
  <si>
    <t>Q2</t>
  </si>
  <si>
    <t>Q3</t>
  </si>
  <si>
    <t>Q4</t>
  </si>
  <si>
    <t>Q5</t>
  </si>
  <si>
    <t>Q6</t>
  </si>
  <si>
    <t>Q7</t>
  </si>
  <si>
    <t>R1</t>
  </si>
  <si>
    <t>2.2 kohm</t>
  </si>
  <si>
    <t>WRIS-RSKS_NEW_1206_560112132019_REFLOW</t>
  </si>
  <si>
    <t>WRIS-RSKS_1206_REFLOW</t>
  </si>
  <si>
    <t>WRIS-RSKS Thick Film Resistors</t>
  </si>
  <si>
    <t>https://www.we-online.com/redexpert/spec/560112132019?ae</t>
  </si>
  <si>
    <t>3.1mm</t>
  </si>
  <si>
    <t>R2</t>
  </si>
  <si>
    <t>5.1 kohm</t>
  </si>
  <si>
    <t>WRIS-RSKS_NEW_0805_560112120019_REFLOW</t>
  </si>
  <si>
    <t>WRIS-RSKS_0805_REFLOW</t>
  </si>
  <si>
    <t>https://www.we-online.com/redexpert/spec/560112120019?ae</t>
  </si>
  <si>
    <t>R3</t>
  </si>
  <si>
    <t>18 ohm</t>
  </si>
  <si>
    <t>WRIS-RSKS_NEW_1206_560112132032_REFLOW</t>
  </si>
  <si>
    <t>https://www.we-online.com/redexpert/spec/560112132032?ae</t>
  </si>
  <si>
    <t>R4</t>
  </si>
  <si>
    <t>R5</t>
  </si>
  <si>
    <t>R6</t>
  </si>
  <si>
    <t>R7</t>
  </si>
  <si>
    <t>R8</t>
  </si>
  <si>
    <t>R9</t>
  </si>
  <si>
    <t>1.2 kohm</t>
  </si>
  <si>
    <t>WRIS-RSKS_NEW_0805_560112120028_REFLOW</t>
  </si>
  <si>
    <t>https://www.we-online.com/redexpert/spec/560112116117?ae</t>
  </si>
  <si>
    <t>R10</t>
  </si>
  <si>
    <t>1000 ohm</t>
  </si>
  <si>
    <t>WRIS-RSKS_NEW_0805_560112120027_REFLOW</t>
  </si>
  <si>
    <t>R11</t>
  </si>
  <si>
    <t>R12</t>
  </si>
  <si>
    <t>R13</t>
  </si>
  <si>
    <t>R14</t>
  </si>
  <si>
    <t>R15</t>
  </si>
  <si>
    <t>R16</t>
  </si>
  <si>
    <t>100 kohm</t>
  </si>
  <si>
    <t>WRIS-RSKS_NEW_0805_560112120013_REFLOW</t>
  </si>
  <si>
    <t>https://www.we-online.com/redexpert/spec/560112120013?ae</t>
  </si>
  <si>
    <t>R17</t>
  </si>
  <si>
    <t>470 kohm</t>
  </si>
  <si>
    <t>WRIS-RSKS_NEW_0805_560112120009_REFLOW</t>
  </si>
  <si>
    <t>https://www.we-online.com/redexpert/spec/560112120009?ae</t>
  </si>
  <si>
    <t>R18</t>
  </si>
  <si>
    <t>47 kohm</t>
  </si>
  <si>
    <t>WRIS-RSKS_NEW_0805_560112120034_REFLOW</t>
  </si>
  <si>
    <t>R19</t>
  </si>
  <si>
    <t>R20</t>
  </si>
  <si>
    <t>R21</t>
  </si>
  <si>
    <t>R22</t>
  </si>
  <si>
    <t>R23</t>
  </si>
  <si>
    <t>10 ohm</t>
  </si>
  <si>
    <t>WRIS-RSKS_NEW_0805_560112120001_REFLOW</t>
  </si>
  <si>
    <t>https://www.we-online.com/redexpert/spec/560112120001?ae</t>
  </si>
  <si>
    <t>R24</t>
  </si>
  <si>
    <t>R25</t>
  </si>
  <si>
    <t>47 ohm</t>
  </si>
  <si>
    <t>WRIS-RSKS_NEW_0805_560112120003_REFLOW</t>
  </si>
  <si>
    <t>https://www.we-online.com/redexpert/spec/560112120003?ae</t>
  </si>
  <si>
    <t>R26</t>
  </si>
  <si>
    <t>R27</t>
  </si>
  <si>
    <t>R28</t>
  </si>
  <si>
    <t>36 kohm</t>
  </si>
  <si>
    <t>WRIS-RSKS_NEW_0805_560112120007_REFLOW</t>
  </si>
  <si>
    <t>https://www.we-online.com/redexpert/spec/560112120007?ae</t>
  </si>
  <si>
    <t>R29</t>
  </si>
  <si>
    <t>33 kohm</t>
  </si>
  <si>
    <t>WRIS-RSKS_NEW_0805_560112120033_REFLOW</t>
  </si>
  <si>
    <t>R30</t>
  </si>
  <si>
    <t>R31</t>
  </si>
  <si>
    <t>R32</t>
  </si>
  <si>
    <t>R33</t>
  </si>
  <si>
    <t>R34</t>
  </si>
  <si>
    <t>R35</t>
  </si>
  <si>
    <t>R36</t>
  </si>
  <si>
    <t>R37</t>
  </si>
  <si>
    <t>261 kohm</t>
  </si>
  <si>
    <t>WRIS-RSKS_NEW_0805_560112120023_REFLOW</t>
  </si>
  <si>
    <t>https://www.we-online.com/redexpert/spec/560112120023?ae</t>
  </si>
  <si>
    <t>R38</t>
  </si>
  <si>
    <t>10 kohm</t>
  </si>
  <si>
    <t>WRIS-RSKS_NEW_0805_560112120004_REFLOW</t>
  </si>
  <si>
    <t>https://www.we-online.com/redexpert/spec/560112120004?ae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</si>
  <si>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</si>
  <si>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</si>
  <si>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</si>
  <si>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</si>
  <si>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</si>
  <si>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</si>
  <si>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</si>
  <si>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</si>
  <si>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</si>
  <si>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3386F-1-103TLFPOT_3386F</t>
  </si>
  <si>
    <t>POT_3386F</t>
  </si>
  <si>
    <t>3386F-1-103TLF</t>
  </si>
  <si>
    <t>R48</t>
  </si>
  <si>
    <t>R49</t>
  </si>
  <si>
    <t>R50</t>
  </si>
  <si>
    <t>R51</t>
  </si>
  <si>
    <t>0Ohm</t>
  </si>
  <si>
    <t>WRIS-RSKS_0805_560112120002_REFLOW</t>
  </si>
  <si>
    <t>https://www.we-online.com/redexpert/spec/560112120002?ae</t>
  </si>
  <si>
    <t>R52</t>
  </si>
  <si>
    <t>6.8 kohm</t>
  </si>
  <si>
    <t>WRIS-RSKS_NEW_0805_560112120031_REFLOW</t>
  </si>
  <si>
    <t>R53</t>
  </si>
  <si>
    <t>R54</t>
  </si>
  <si>
    <t>R55</t>
  </si>
  <si>
    <t>R56</t>
  </si>
  <si>
    <t>RS1</t>
  </si>
  <si>
    <t>2mOhm</t>
  </si>
  <si>
    <t>WRIS-PSMC_2512_580070763001_6.3X3.1X0.58X2.2</t>
  </si>
  <si>
    <t>WRIS_PSMC_2512_6.3X3.1X0.58X2.2(LXWXHXPW)</t>
  </si>
  <si>
    <t>WRIS-PSMC Metal Plate Resistors</t>
  </si>
  <si>
    <t>https://katalog.we-online.de/pbs/datasheet/580070763001.pdf</t>
  </si>
  <si>
    <t>RS2</t>
  </si>
  <si>
    <t>RS3</t>
  </si>
  <si>
    <t>RS4</t>
  </si>
  <si>
    <t>S1</t>
  </si>
  <si>
    <t>WS-TASV SMT Tact Switch 4.5x4.5 mm</t>
  </si>
  <si>
    <t>https://www.we-online.com/redexpert/spec/430181038816?ae</t>
  </si>
  <si>
    <t>4.5mm</t>
  </si>
  <si>
    <t>S2</t>
  </si>
  <si>
    <t>U1</t>
  </si>
  <si>
    <t>LM5013DDAR</t>
  </si>
  <si>
    <t>DDA0008E-IPC_C</t>
  </si>
  <si>
    <t>U2</t>
  </si>
  <si>
    <t>2ED2304S06F</t>
  </si>
  <si>
    <t>SOIC127P600X175-8N-10-V</t>
  </si>
  <si>
    <t>U3</t>
  </si>
  <si>
    <t>U4</t>
  </si>
  <si>
    <t>U5</t>
  </si>
  <si>
    <t>STPS2200UFSMBFLAT_STM</t>
  </si>
  <si>
    <t>SMBFLAT_STM</t>
  </si>
  <si>
    <t>U6</t>
  </si>
  <si>
    <t>INA240A1DD8_TEX</t>
  </si>
  <si>
    <t>D8_TEX</t>
  </si>
  <si>
    <t>Texas Instruments</t>
  </si>
  <si>
    <t>INA240A1D</t>
  </si>
  <si>
    <t>U7</t>
  </si>
  <si>
    <t>1EDL8011</t>
  </si>
  <si>
    <t>SOIC127P600X175-8N-22-V2</t>
  </si>
  <si>
    <t>U8</t>
  </si>
  <si>
    <t>U9</t>
  </si>
  <si>
    <t>U10</t>
  </si>
  <si>
    <t>U11</t>
  </si>
  <si>
    <t>TXU0304PWRTSSOP14_PW_TEX</t>
  </si>
  <si>
    <t>TSSOP14_PW_TEX</t>
  </si>
  <si>
    <t>TXU0304PWR</t>
  </si>
  <si>
    <t>U12</t>
  </si>
  <si>
    <t>U13</t>
  </si>
  <si>
    <t>TXU0104PWRTSSOP_0104PWR_TEX</t>
  </si>
  <si>
    <t>TSSOP_0104PWR_TEX</t>
  </si>
  <si>
    <t>TXU0104PWR</t>
  </si>
  <si>
    <t>Insulated-Gate Field-Effect Transistor (IGFET), N-Channel, Enhancement, Body Diode, Pin 1 Gate, 2 Drain, 3 Source, 3 Pins, PG-TO247-3-901</t>
  </si>
  <si>
    <t>Insulated-Gate Field-Effect Transistor (IGFET), N-Channel, Enhancement, Body Diode, Pin 1 Gate, 2 Drain, 3 Source, 3 Pins, PG-TO247-3-902</t>
  </si>
  <si>
    <t>Insulated-Gate Field-Effect Transistor (IGFET), N-Channel, Enhancement, Body Diode, Pin 1 Gate, 2 Drain, 3 Source, 3 Pins, PG-TO247-3-903</t>
  </si>
  <si>
    <t>Insulated-Gate Field-Effect Transistor (IGFET), N-Channel, Enhancement, Body Diode, Pin 1 Gate, 2 Drain, 3 Source, 3 Pins, PG-TO247-3-904</t>
  </si>
  <si>
    <t>Insulated-Gate Field-Effect Transistor (IGFET), N-Channel, Enhancement, Body Diode, Pin 1 Gate, 2 Drain, 3 Source, 3 Pins, PG-TO247-3-905</t>
  </si>
  <si>
    <t>Insulated-Gate Field-Effect Transistor (IGFET), N-Channel, Enhancement, Body Diode, Pin 1 Gate, 2 Drain, 3 Source, 3 Pins, PG-TO247-3-906</t>
  </si>
  <si>
    <t>Insulated-Gate Field-Effect Transistor (IGFET), N-Channel, Enhancement, Body Diode, Pin 1 Gate, 2 Drain, 3 Source, 3 Pins, PG-TO247-3-907</t>
  </si>
  <si>
    <t>Manufacturer</t>
  </si>
  <si>
    <t>Würth Electronics</t>
  </si>
  <si>
    <t>Infineon</t>
  </si>
  <si>
    <t>WL-SMCW SMT Mono-color Chip LED Watercleae</t>
  </si>
  <si>
    <t>WL-SMCW SMT Mono-color Chip LED Waterclear</t>
  </si>
  <si>
    <t>Zenerdiode</t>
  </si>
  <si>
    <t>Onsemi</t>
  </si>
  <si>
    <t>BZX84C2V4LT1 - Zener Voltage Regulators</t>
  </si>
  <si>
    <t>OPTIREG™ switcher TLS4125D0EPV50</t>
  </si>
  <si>
    <t>TLS4125D0EPV50</t>
  </si>
  <si>
    <t>Synchronous Step-Down Regulator, 5V-Output</t>
  </si>
  <si>
    <t>TLS208D1-Data-Sheet-Infineon</t>
  </si>
  <si>
    <t>TLS208D1</t>
  </si>
  <si>
    <t>RS-Pro</t>
  </si>
  <si>
    <t>A700000010244389.pdf</t>
  </si>
  <si>
    <t>Heat-Sink</t>
  </si>
  <si>
    <t>789-8554</t>
  </si>
  <si>
    <t>6912196100xx_2</t>
  </si>
  <si>
    <t>WR-TBL Serie 2196 - 10.16 mm Horiz. Entry Modular, Motorconnector</t>
  </si>
  <si>
    <t>WR-TBL Serie 2196 - 10.16 mm Horiz. Entry Modular, VDDIN-Connector</t>
  </si>
  <si>
    <t>WR-PHD 2.54 mm THT Pin Header, Measurement-Header</t>
  </si>
  <si>
    <t>WR-TBL Serie 3211 - 3.50 mm Vertical PCB Header, Motor-Sensor-Connector</t>
  </si>
  <si>
    <t>WR-PHD 2.00 mm THT Pin Header, VDD-Motor-Sensors</t>
  </si>
  <si>
    <t>Digital-Connector, Main-Board</t>
  </si>
  <si>
    <t>ERF8-040-05.0-L-DV-L-K-TR - Robuste Edge Rate® Highspeed-Buchse (0,80 mm)</t>
  </si>
  <si>
    <t>Analog-Connector, Main-Board</t>
  </si>
  <si>
    <t>WR-TBL Serie 3211 - 3.50 mm Vertical PCB Header, Inkrement-Sensors1-Connector</t>
  </si>
  <si>
    <t>WR-TBL Serie 3211 - 3.50 mm Vertical PCB Header, Inkrement-Sensors2-Connector</t>
  </si>
  <si>
    <t>WR-PHD 2.00 mm THT Pin Header, VDD-Inkrement-Sensors</t>
  </si>
  <si>
    <t>HSEC8-160-01-L-DV-A-BL</t>
  </si>
  <si>
    <t>Control-Card-Connector</t>
  </si>
  <si>
    <t>HSEC8-160-01-L-DV-A-BL - Generate™ Highspeed-Edgecard-Steckverbinder, 0,80 mm, vertikal</t>
  </si>
  <si>
    <t>WR-PHD 2.00 mm THT Pin Header, VDD3.3-Connector</t>
  </si>
  <si>
    <t>WR-TBL Serie 3211 - 3.50 mm Vertical PCB Header, FAN-Connector</t>
  </si>
  <si>
    <t>WR-PHD 2.54 mm THT Pin Header, Backup-Header</t>
  </si>
  <si>
    <t>EPCOS-TDK Electronice</t>
  </si>
  <si>
    <t>NTC_SMD_Standard_series_0805.pdf</t>
  </si>
  <si>
    <t>Temperature-Sensor</t>
  </si>
  <si>
    <t>Datasheet IRF100P218</t>
  </si>
  <si>
    <t>Datasheet IRF100P219</t>
  </si>
  <si>
    <t>Datasheet IRF100P220</t>
  </si>
  <si>
    <t>Datasheet IRF100P221</t>
  </si>
  <si>
    <t>Datasheet IRF100P222</t>
  </si>
  <si>
    <t>Datasheet IRF100P223</t>
  </si>
  <si>
    <t>Datasheet IRF100P224</t>
  </si>
  <si>
    <t>IRF100P219</t>
  </si>
  <si>
    <t>IRF100P220</t>
  </si>
  <si>
    <t>IRF100P221</t>
  </si>
  <si>
    <t>IRF100P222</t>
  </si>
  <si>
    <t>IRF100P223</t>
  </si>
  <si>
    <t>IRF100P224</t>
  </si>
  <si>
    <t>Potentiometer1</t>
  </si>
  <si>
    <t>Bourns</t>
  </si>
  <si>
    <t>bourns.com/docs/Product-Datasheets/3386.pdf</t>
  </si>
  <si>
    <t>Potentiometer2</t>
  </si>
  <si>
    <t>10k Poti</t>
  </si>
  <si>
    <t>LM5013 100-V Input, 3.5-A Non-Synchronous Buck DC/DC Converter with Ultra-Low IQ datasheet</t>
  </si>
  <si>
    <t>Gatedriver, U</t>
  </si>
  <si>
    <t>Gatedriver, V</t>
  </si>
  <si>
    <t>Gatedriver, W</t>
  </si>
  <si>
    <t>2ED2304S06F: 650 V Half Bridge Gate Driver with Integrated Bootstrap Diode (BSD)</t>
  </si>
  <si>
    <t>Shottky-Diode</t>
  </si>
  <si>
    <t>STMicroelecronics</t>
  </si>
  <si>
    <t>Power Schottky diode</t>
  </si>
  <si>
    <t>STPS2200</t>
  </si>
  <si>
    <t>-4 to 80V, bidirectional, ultra-precise current sense amplifier with enhanced PWM rejection</t>
  </si>
  <si>
    <t>INA240 –4-V to 80-V, Bidirectional, Ultra-Precise Current Sense Amplifier With Enhanced PWM Rejection datasheet (Rev. C)</t>
  </si>
  <si>
    <t>EiceDRIVER, 125 V High Side Gate Driver, 7th-Switch-Driver</t>
  </si>
  <si>
    <t>Adjustable Linear Voltage Post Regulator, for REF1.65V</t>
  </si>
  <si>
    <t>Linear Voltage Post Regulator, for VDD3.3-PB</t>
  </si>
  <si>
    <t>Four-channel fixed multidirectional level shifter</t>
  </si>
  <si>
    <t>TXU0304 4-Bit Fixed Direction Voltage-Level Translator with Schmitt-Trigger Inputs and 3-State Outputs datasheet (Rev. A)</t>
  </si>
  <si>
    <t>TXU0104 / TXUN0104 4-Bit Fixed Direction Voltage-Level Translator with Schmitt-Trigger Inputs and 3-State Outputs datasheet (Rev. B)</t>
  </si>
  <si>
    <t>Four-channel fixed multidirectional level shifter, INKR1-Sensors</t>
  </si>
  <si>
    <t>Four-channel fixed multidirectional level shifter, INKR2-Sensors</t>
  </si>
  <si>
    <t>Four-channel fixed multidirectional level shifter, HALL-Sensors</t>
  </si>
  <si>
    <t>non-synchronous buck DC/DC converter, Buck-Converter (VDDIN -&gt; VDD12)</t>
  </si>
  <si>
    <t>Resistor</t>
  </si>
  <si>
    <t>Capacitor</t>
  </si>
  <si>
    <t>LED</t>
  </si>
  <si>
    <t>Gatedriver</t>
  </si>
  <si>
    <t>Potentiometer, 10 kOhm</t>
  </si>
  <si>
    <t>Main-Board-Connectors</t>
  </si>
  <si>
    <t>Inductance</t>
  </si>
  <si>
    <t>Jumper</t>
  </si>
  <si>
    <t>WR-PHD 2.00 mm Jumper with Test Point</t>
  </si>
  <si>
    <t>WR-PHD 2.00 mm Jumper with Test Point | Electromechanical Components | Würth Elektronik Product Catalog</t>
  </si>
  <si>
    <t>WR-TBL Serie 3611 - 3.50 mm Vertical</t>
  </si>
  <si>
    <t>⁣WR-TBL Serie 3611 - 3.50 mm Vertical | Elektromechanische Bauelemente | Würth Elektronik Produktkatalog</t>
  </si>
  <si>
    <t>WA-SPAIE Plastic Spacer Stud, metric, internal/ external</t>
  </si>
  <si>
    <t>⁣WA-SPAIE Plastic Spacer Stud, metric, internal/ external | Electromechanical Components | Würth Elektronik Product Catalog</t>
  </si>
  <si>
    <t>Plastic Spacer Stud</t>
  </si>
  <si>
    <t>Insulated-Gate Field-Effect Transistor (IGFET), N-Channel, Enhancement, Body Diode, PG-TO247-3-901</t>
  </si>
  <si>
    <t>Main-Board</t>
  </si>
  <si>
    <t>Control-Card, Boy II</t>
  </si>
  <si>
    <t>M3-Schrauben</t>
  </si>
  <si>
    <t>Connector, 4-Pin</t>
  </si>
  <si>
    <t>Connector, 6-Pin</t>
  </si>
  <si>
    <t>aus Kunststoff, für Spacer-Stunds</t>
  </si>
  <si>
    <t>M3-Beilagscheiben</t>
  </si>
  <si>
    <t>für Kühlkörperbefestigung, leitend</t>
  </si>
  <si>
    <t>für Kühlkörperbefestigung/Mosfetbefestigung, 12 mm, leitend</t>
  </si>
  <si>
    <t>KIT-PSC3M5-CC1 - Evaluation Boards | Infineon Technologies</t>
  </si>
  <si>
    <t>M3-Muttern, Kunststoff</t>
  </si>
  <si>
    <t>KIT_PSC3M5_CC1</t>
  </si>
  <si>
    <t>Quantity/Board</t>
  </si>
  <si>
    <t>4-Boards</t>
  </si>
  <si>
    <t>Thermal Interface Isolator for TO247, Mosfets</t>
  </si>
  <si>
    <t>für Kühlkörperbefestigung/Mosfetbefestigung, ~12 mm, leitend</t>
  </si>
  <si>
    <t>RS</t>
  </si>
  <si>
    <t>DigiKey</t>
  </si>
  <si>
    <t>Thermal Pad for Mosfets</t>
  </si>
  <si>
    <t>BER204-ND</t>
  </si>
  <si>
    <t>Bergquist</t>
  </si>
  <si>
    <t>SP400-0.007-00-104 Bergquist | Fans, Blowers, Thermal Management | DigiKey</t>
  </si>
  <si>
    <t>DigiKey-Cart:</t>
  </si>
  <si>
    <t>RS-Cart:</t>
  </si>
  <si>
    <t>Lieferant</t>
  </si>
  <si>
    <t>RS PRO Kühlkörper für Universelle rechteckige Alu 4.5°C/W, 100mm x 46mm x 33mm, Schraubmontage | RS</t>
  </si>
  <si>
    <t>5-Boards</t>
  </si>
  <si>
    <t>https://www.digikey.at/short/f0jjznm8</t>
  </si>
  <si>
    <t>Thermal Pad für Mosfets</t>
  </si>
  <si>
    <t>Designator</t>
  </si>
  <si>
    <t>R47, R56</t>
  </si>
  <si>
    <t>U2, U3, U4</t>
  </si>
  <si>
    <t>Q1, Q2, Q3, Q4, Q5, Q6, Q7</t>
  </si>
  <si>
    <t>D4, D5, D6, D7, D10</t>
  </si>
  <si>
    <t>J6, J7</t>
  </si>
  <si>
    <t>U6, U8, U9, U10</t>
  </si>
  <si>
    <t>U11, U12</t>
  </si>
  <si>
    <t>S1, S2</t>
  </si>
  <si>
    <t>J4, J8, J9</t>
  </si>
  <si>
    <t>J3, J14</t>
  </si>
  <si>
    <t>J5, J10, J12</t>
  </si>
  <si>
    <t>C22, C33, C59</t>
  </si>
  <si>
    <t>C13, C14, C15, C60, C61, C62, C63, C64, C65</t>
  </si>
  <si>
    <t>C34, C58</t>
  </si>
  <si>
    <t>C54, C55, C56, C57, C80</t>
  </si>
  <si>
    <t>C66, C67, C68, C69, C70, C71</t>
  </si>
  <si>
    <t>C2, C4, C9, C23, C28, C29, C32, C41, C76</t>
  </si>
  <si>
    <t>C16, C17, C18, C19, C20, C21, C27, C38, C45, C49, C53</t>
  </si>
  <si>
    <t>C3, C5, C6, C7, C10, C11, C30</t>
  </si>
  <si>
    <t>C35, C36, C37, C42, C43, C44, C46, C47, C48, C50, C51, C52</t>
  </si>
  <si>
    <t>C1, C8, C12</t>
  </si>
  <si>
    <t>C39, C72, C73, C74, C75, C77, C78, C79</t>
  </si>
  <si>
    <t>D1, D2</t>
  </si>
  <si>
    <t>RS1, RS2, RS3, RS4</t>
  </si>
  <si>
    <t>R23, R24, R26, R27, R31, R32, R33, R34, R35, R36, R46</t>
  </si>
  <si>
    <t>R38, R40, R42, R44, R48, R49, R53, R56</t>
  </si>
  <si>
    <t>R17, R19</t>
  </si>
  <si>
    <t>R16, R45</t>
  </si>
  <si>
    <t>R37, R39, R41, R43</t>
  </si>
  <si>
    <t>R10, R11, R12, R13, R14, R15, R21, R50, R55</t>
  </si>
  <si>
    <t>R9, R22, R30</t>
  </si>
  <si>
    <t>R3, R4, R5, R6, R7, R8, R20</t>
  </si>
  <si>
    <t>sended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</si>
</sst>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42" applyAlignment="1">
      <alignment horizontal="center"/>
    </xf>
    <xf numFmtId="0" fontId="18" fillId="0" borderId="0" xfId="0" applyFont="1"/>
    <xf numFmtId="0" fontId="20" fillId="0" borderId="0" xfId="42" applyFont="1"/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24565-857D-4FC9-BEE9-16A9CC7891C9}" name="Tabelle1" displayName="Tabelle1" ref="A1:H193" totalsRowShown="0" headerRowDxfId="84" dataDxfId="83">
  <autoFilter ref="A1:H193" xr:uid="{C1D24565-857D-4FC9-BEE9-16A9CC7891C9}"/>
  <sortState xmlns:xlrd2="http://schemas.microsoft.com/office/spreadsheetml/2017/richdata2" ref="A2:H193">
    <sortCondition ref="B1:B193"/>
  </sortState>
  <tableColumns count="8">
    <tableColumn id="1" xr3:uid="{C3CF71AB-C8BC-4347-8E81-A9B7B1E56A4D}" name="Part" dataDxfId="82"/>
    <tableColumn id="2" xr3:uid="{787686DF-9B36-4417-8316-45FFAECA9C61}" name="Value" dataDxfId="81"/>
    <tableColumn id="3" xr3:uid="{6E630D94-09E6-45A4-A3EE-3CB8EE303186}" name="Device" dataDxfId="80"/>
    <tableColumn id="4" xr3:uid="{B08A47C3-34EA-42A1-8F62-3402B7A4A8EF}" name="PART-NUMBER" dataDxfId="79"/>
    <tableColumn id="5" xr3:uid="{C03219B7-CDF4-4A4E-A94C-1681B45A46FA}" name="Footprint Name" dataDxfId="78"/>
    <tableColumn id="6" xr3:uid="{6763ADDC-9816-47CF-9D12-2AB30FD455EA}" name="Detailed Description" dataDxfId="77"/>
    <tableColumn id="7" xr3:uid="{5FF2F319-D561-48ED-AA2E-369603C142A8}" name="Manufacturer" dataDxfId="76"/>
    <tableColumn id="8" xr3:uid="{C824F3B5-7E80-4202-BF11-866C72BB5AEC}" name="DATASHEET-URL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133BB6-65BF-4350-A9BA-84717CE976BA}" name="Tabelle3" displayName="Tabelle3" ref="A1:Q74" totalsRowCount="1" headerRowDxfId="75" dataDxfId="74">
  <autoFilter ref="A1:Q73" xr:uid="{A6133BB6-65BF-4350-A9BA-84717CE976BA}"/>
  <sortState xmlns:xlrd2="http://schemas.microsoft.com/office/spreadsheetml/2017/richdata2" ref="A2:Q73">
    <sortCondition ref="B1:B73"/>
  </sortState>
  <tableColumns count="17">
    <tableColumn id="1" xr3:uid="{A2B26E50-8747-4EE1-B72A-63ED6F9D40FF}" name="Part" dataDxfId="73" totalsRowDxfId="72"/>
    <tableColumn id="16" xr3:uid="{17E860F4-AC57-4088-8830-42AA39C0DF19}" name="Designator" dataDxfId="71" totalsRowDxfId="70"/>
    <tableColumn id="2" xr3:uid="{14545A26-FA19-42E3-B1F6-3056566AF63D}" name="Value" dataDxfId="69" totalsRowDxfId="68"/>
    <tableColumn id="3" xr3:uid="{B9CF56E5-58E0-4E95-9732-21DFA21A00FB}" name="Device" dataDxfId="67" totalsRowDxfId="66"/>
    <tableColumn id="4" xr3:uid="{FC438D34-D890-443B-956C-95F35BE95839}" name="PART-NUMBER" dataDxfId="65" totalsRowDxfId="64"/>
    <tableColumn id="5" xr3:uid="{CDFD2012-D818-4F33-9A22-691B5292D959}" name="Footprint Name" dataDxfId="63" totalsRowDxfId="62"/>
    <tableColumn id="6" xr3:uid="{FE3AD29E-712F-434C-B468-163DAF3BF50E}" name="Detailed Description" dataDxfId="61" totalsRowDxfId="60"/>
    <tableColumn id="7" xr3:uid="{03B034A8-7F97-404E-8C1C-2715D72303B6}" name="Manufacturer" dataDxfId="59" totalsRowDxfId="58"/>
    <tableColumn id="8" xr3:uid="{CD1E6E52-54C0-407F-8EB0-0D67B4D8B9F4}" name="DATASHEET-URL" totalsRowDxfId="57"/>
    <tableColumn id="9" xr3:uid="{8326C0BD-F23D-4C39-8A38-7E37A7E4EC13}" name="LENGTH" dataDxfId="56" totalsRowDxfId="55"/>
    <tableColumn id="10" xr3:uid="{1978B20B-F587-4F3C-A9EF-6A23296CB1EE}" name="WIDTH" dataDxfId="54" totalsRowDxfId="53"/>
    <tableColumn id="11" xr3:uid="{D1AE5A1C-5477-4B5B-B870-471C926C185F}" name="MOUNT" dataDxfId="52" totalsRowDxfId="51"/>
    <tableColumn id="12" xr3:uid="{C09018B6-882C-4185-AE89-FAB9FB6356AB}" name="SIZE" dataDxfId="50" totalsRowDxfId="49"/>
    <tableColumn id="13" xr3:uid="{2DE1BA7C-1BBA-4F6D-9230-F2D31081DD0A}" name="PAD-DIMENSION" dataDxfId="48" totalsRowDxfId="47"/>
    <tableColumn id="14" xr3:uid="{F7C3CD67-4600-4E7C-9DF1-451E94D2EE14}" name="Quantity/Board" totalsRowFunction="custom" dataDxfId="46" totalsRowDxfId="45">
      <totalsRowFormula>SUM(Tabelle3[Quantity/Board])</totalsRowFormula>
    </tableColumn>
    <tableColumn id="15" xr3:uid="{13EFE749-FF5B-48AB-AAFF-492065245EB1}" name="4-Boards" dataDxfId="44" totalsRowDxfId="43">
      <calculatedColumnFormula>Tabelle3[[#This Row],[Quantity/Board]]*4</calculatedColumnFormula>
    </tableColumn>
    <tableColumn id="17" xr3:uid="{3DFA2354-CDAF-43E4-AE8C-3477520C5133}" name="sended" dataDxfId="42" totalsRowDxfId="4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75C5D2-EAB7-4C7F-8801-8F43D3B11394}" name="Tabelle2" displayName="Tabelle2" ref="A1:I59" totalsRowCount="1" headerRowDxfId="40" dataDxfId="39">
  <autoFilter ref="A1:I58" xr:uid="{1575C5D2-EAB7-4C7F-8801-8F43D3B11394}"/>
  <tableColumns count="9">
    <tableColumn id="1" xr3:uid="{57784144-47D2-44A5-9DBB-87336970B9BB}" name="Part" dataDxfId="38" totalsRowDxfId="37"/>
    <tableColumn id="2" xr3:uid="{1D7B10F6-4015-4307-A20D-5B145552EF65}" name="Value" dataDxfId="36" totalsRowDxfId="35"/>
    <tableColumn id="3" xr3:uid="{46CD709A-EC3A-42EB-9F35-F069A0CC0F22}" name="Device" dataDxfId="34" totalsRowDxfId="33"/>
    <tableColumn id="4" xr3:uid="{810B57F5-930E-4032-9CDD-51868025B9A3}" name="PART-NUMBER" dataDxfId="32" totalsRowDxfId="31"/>
    <tableColumn id="5" xr3:uid="{425FE938-86FB-4B7F-AF6D-2A4C59A0C560}" name="Detailed Description" dataDxfId="30" totalsRowDxfId="29"/>
    <tableColumn id="6" xr3:uid="{E07DBD2F-2FEB-475F-9A16-8BDB92B56966}" name="Manufacturer" dataDxfId="28" totalsRowDxfId="27"/>
    <tableColumn id="7" xr3:uid="{8241746B-A193-493F-BFB3-2752ACC34E96}" name="DATASHEET-URL" dataDxfId="26" totalsRowDxfId="25"/>
    <tableColumn id="8" xr3:uid="{6CCC44D6-A19B-4273-B85B-86F1BCB64928}" name="Quantity/Board" totalsRowFunction="custom" dataDxfId="24" totalsRowDxfId="23" totalsRowCellStyle="Hyperlink">
      <totalsRowFormula>SUM(Tabelle2[Quantity/Board])</totalsRowFormula>
    </tableColumn>
    <tableColumn id="9" xr3:uid="{41163AF5-67E2-437F-96FF-D3481D0B2C16}" name="4-Boards" dataDxfId="22" totalsRowDxfId="2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3AE4BB-E5C1-478A-8C23-819598B5D5E2}" name="Tabelle4" displayName="Tabelle4" ref="A1:J17" totalsRowCount="1" headerRowDxfId="20" dataDxfId="19">
  <autoFilter ref="A1:J16" xr:uid="{403AE4BB-E5C1-478A-8C23-819598B5D5E2}"/>
  <tableColumns count="10">
    <tableColumn id="1" xr3:uid="{CE7ADDCF-6E46-41F2-A5A3-AB9E2280E826}" name="Part" dataDxfId="18" totalsRowDxfId="17"/>
    <tableColumn id="2" xr3:uid="{E955C46B-E62F-4289-9EF3-21BEF650E83F}" name="Value" dataDxfId="16" totalsRowDxfId="15"/>
    <tableColumn id="3" xr3:uid="{62D76856-2E7E-4553-BEB8-E8F2C345F7B7}" name="Device" dataDxfId="14" totalsRowDxfId="13"/>
    <tableColumn id="4" xr3:uid="{AB276E70-2C04-4F17-952A-D415C1906091}" name="PART-NUMBER" dataDxfId="12" totalsRowDxfId="11"/>
    <tableColumn id="5" xr3:uid="{4F41E604-0720-4B7B-8B3A-1C7184503DBF}" name="Detailed Description" dataDxfId="10" totalsRowDxfId="9"/>
    <tableColumn id="6" xr3:uid="{19D5599D-449C-4962-9DC8-65ECE8F15409}" name="Manufacturer" dataDxfId="8" totalsRowDxfId="7"/>
    <tableColumn id="7" xr3:uid="{44AC0E55-6026-449A-B057-2C63DEABDA99}" name="DATASHEET-URL" totalsRowDxfId="6"/>
    <tableColumn id="8" xr3:uid="{714D51C2-1E34-4533-9696-1150D688AC61}" name="Quantity/Board" totalsRowFunction="custom" dataDxfId="5" totalsRowDxfId="4">
      <totalsRowFormula>SUM(Tabelle4[Quantity/Board])</totalsRowFormula>
    </tableColumn>
    <tableColumn id="9" xr3:uid="{6D6A1E6B-8C2C-4AFB-B735-83A29FB7176D}" name="5-Boards" dataDxfId="3" totalsRowDxfId="2">
      <calculatedColumnFormula>Tabelle4[[#This Row],[Quantity/Board]]*5</calculatedColumnFormula>
    </tableColumn>
    <tableColumn id="10" xr3:uid="{F9542E2C-50C5-44EA-8E66-00672C99815B}" name="Lieferant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mtec.com/de/products/erf8-040-05.0-l-dv-l-k-tr" TargetMode="External"/><Relationship Id="rId18" Type="http://schemas.openxmlformats.org/officeDocument/2006/relationships/hyperlink" Target="https://www.bourns.com/docs/Product-Datasheets/3386.pdf" TargetMode="External"/><Relationship Id="rId26" Type="http://schemas.openxmlformats.org/officeDocument/2006/relationships/hyperlink" Target="https://www.ti.com/lit/ds/symlink/ina240.pdf?ts=1753933408750" TargetMode="External"/><Relationship Id="rId3" Type="http://schemas.openxmlformats.org/officeDocument/2006/relationships/hyperlink" Target="https://www.we-online.com/redexpert/spec/150120RS75000?ae" TargetMode="External"/><Relationship Id="rId21" Type="http://schemas.openxmlformats.org/officeDocument/2006/relationships/hyperlink" Target="https://www.infineon.com/assets/row/public/documents/60/49/infineon-2ed2304s06f-datasheet-en.pdf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www.infineon.com/assets/row/public/documents/10/49/infineon-tls208d1-ds-en.pdf" TargetMode="External"/><Relationship Id="rId12" Type="http://schemas.openxmlformats.org/officeDocument/2006/relationships/hyperlink" Target="https://www.samtec.com/de/products/erf8-040-05.0-l-dv-l-k-tr" TargetMode="External"/><Relationship Id="rId17" Type="http://schemas.openxmlformats.org/officeDocument/2006/relationships/hyperlink" Target="https://www.infineon.com/assets/row/public/documents/24/49/infineon-irf100p218-datasheet-en.pdf" TargetMode="External"/><Relationship Id="rId25" Type="http://schemas.openxmlformats.org/officeDocument/2006/relationships/hyperlink" Target="https://www.ti.com/lit/ds/symlink/ina240.pdf?ts=1753933408750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onsemi.com/pdf/datasheet/bzx84c2v4lt1-d.pdf" TargetMode="External"/><Relationship Id="rId16" Type="http://schemas.openxmlformats.org/officeDocument/2006/relationships/hyperlink" Target="https://www.infineon.com/assets/row/public/documents/24/49/infineon-irf100p218-datasheet-en.pdf" TargetMode="External"/><Relationship Id="rId20" Type="http://schemas.openxmlformats.org/officeDocument/2006/relationships/hyperlink" Target="https://www.ti.com/lit/ds/symlink/lm5013.pdf?ts=1753887799318&amp;ref_url=https%253A%252F%252Fwww.ti.com%252Fpower-management%252Facdc-dcdc-converters%252Fproducts.html" TargetMode="External"/><Relationship Id="rId29" Type="http://schemas.openxmlformats.org/officeDocument/2006/relationships/hyperlink" Target="https://www.infineon.com/assets/row/public/documents/24/49/infineon-1edl8011-datasheet-en.pdf" TargetMode="External"/><Relationship Id="rId1" Type="http://schemas.openxmlformats.org/officeDocument/2006/relationships/hyperlink" Target="https://www.onsemi.com/pdf/datasheet/bzx84c2v4lt1-d.pdf" TargetMode="External"/><Relationship Id="rId6" Type="http://schemas.openxmlformats.org/officeDocument/2006/relationships/hyperlink" Target="https://www.infineon.com/assets/row/public/documents/10/49/infineon-tls208d1-ds-en.pdf" TargetMode="External"/><Relationship Id="rId11" Type="http://schemas.openxmlformats.org/officeDocument/2006/relationships/hyperlink" Target="https://www.we-online.com/redexpert/spec/691321100006?ae" TargetMode="External"/><Relationship Id="rId24" Type="http://schemas.openxmlformats.org/officeDocument/2006/relationships/hyperlink" Target="https://docs.rs-online.com/9871/0900766b8126d336.pdf" TargetMode="External"/><Relationship Id="rId32" Type="http://schemas.openxmlformats.org/officeDocument/2006/relationships/hyperlink" Target="https://www.ti.com/lit/ds/symlink/txu0104.pdf?ts=1753915550282&amp;ref_url=https%253A%252F%252Fwww.ti.com%252Fproduct-category%252Flogic-voltage-translation%252Fvoltage-translators-level-shifters%252Fvoltage-translators%252Fproducts.html" TargetMode="External"/><Relationship Id="rId5" Type="http://schemas.openxmlformats.org/officeDocument/2006/relationships/hyperlink" Target="https://www.infineon.com/assets/row/public/documents/10/49/infineon-tls4125d0ep-v50-datasheet-en.pdf" TargetMode="External"/><Relationship Id="rId15" Type="http://schemas.openxmlformats.org/officeDocument/2006/relationships/hyperlink" Target="https://www.tdk-electronics.tdk.com/inf/50/db/ntc/NTC_SMD_Standard_series_0805.pdf" TargetMode="External"/><Relationship Id="rId23" Type="http://schemas.openxmlformats.org/officeDocument/2006/relationships/hyperlink" Target="https://www.infineon.com/assets/row/public/documents/60/49/infineon-2ed2304s06f-datasheet-en.pdf" TargetMode="External"/><Relationship Id="rId28" Type="http://schemas.openxmlformats.org/officeDocument/2006/relationships/hyperlink" Target="https://www.ti.com/lit/ds/symlink/ina240.pdf?ts=1753933408750" TargetMode="External"/><Relationship Id="rId10" Type="http://schemas.openxmlformats.org/officeDocument/2006/relationships/hyperlink" Target="https://www.we-online.com/components/products/datasheet/691219610003.pdf" TargetMode="External"/><Relationship Id="rId19" Type="http://schemas.openxmlformats.org/officeDocument/2006/relationships/hyperlink" Target="https://www.bourns.com/docs/Product-Datasheets/3386.pdf" TargetMode="External"/><Relationship Id="rId31" Type="http://schemas.openxmlformats.org/officeDocument/2006/relationships/hyperlink" Target="https://www.ti.com/lit/ds/symlink/txu0304.pdf?ts=1753955427569&amp;ref_url=https%253A%252F%252Fwww.ti.com%252Fproduct%252FTXU0304%252Fpart-details%252FTXU0304DTRR" TargetMode="External"/><Relationship Id="rId4" Type="http://schemas.openxmlformats.org/officeDocument/2006/relationships/hyperlink" Target="https://www.onsemi.com/pdf/datasheet/bzx84c2v4lt1-d.pdf" TargetMode="External"/><Relationship Id="rId9" Type="http://schemas.openxmlformats.org/officeDocument/2006/relationships/hyperlink" Target="https://www.we-online.com/components/products/datasheet/691219610002.pdf" TargetMode="External"/><Relationship Id="rId14" Type="http://schemas.openxmlformats.org/officeDocument/2006/relationships/hyperlink" Target="https://www.samtec.com/de/products/hsec8-160-01-l-dv-a-bl" TargetMode="External"/><Relationship Id="rId22" Type="http://schemas.openxmlformats.org/officeDocument/2006/relationships/hyperlink" Target="https://www.infineon.com/assets/row/public/documents/60/49/infineon-2ed2304s06f-datasheet-en.pdf" TargetMode="External"/><Relationship Id="rId27" Type="http://schemas.openxmlformats.org/officeDocument/2006/relationships/hyperlink" Target="https://www.ti.com/lit/ds/symlink/ina240.pdf?ts=1753933408750" TargetMode="External"/><Relationship Id="rId30" Type="http://schemas.openxmlformats.org/officeDocument/2006/relationships/hyperlink" Target="https://www.ti.com/lit/ds/symlink/txu0304.pdf?ts=1753955427569&amp;ref_url=https%253A%252F%252Fwww.ti.com%252Fproduct%252FTXU0304%252Fpart-details%252FTXU0304DTRR" TargetMode="External"/><Relationship Id="rId8" Type="http://schemas.openxmlformats.org/officeDocument/2006/relationships/hyperlink" Target="https://docs.rs-online.com/3b50/A700000010244389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fineon.com/assets/row/public/documents/24/49/infineon-1edl8011-datasheet-en.pdf" TargetMode="External"/><Relationship Id="rId13" Type="http://schemas.openxmlformats.org/officeDocument/2006/relationships/hyperlink" Target="https://www.onsemi.com/pdf/datasheet/bzx84c2v4lt1-d.pdf" TargetMode="External"/><Relationship Id="rId18" Type="http://schemas.openxmlformats.org/officeDocument/2006/relationships/hyperlink" Target="https://www.ti.com/lit/ds/symlink/lm5013.pdf?ts=1753887799318&amp;ref_url=https%253A%252F%252Fwww.ti.com%252Fpower-management%252Facdc-dcdc-converters%252Fproducts.html" TargetMode="External"/><Relationship Id="rId26" Type="http://schemas.openxmlformats.org/officeDocument/2006/relationships/hyperlink" Target="https://www.we-online.com/de/components/products/TBL_3_50_3611_VERTICAL_69136110000X" TargetMode="External"/><Relationship Id="rId3" Type="http://schemas.openxmlformats.org/officeDocument/2006/relationships/hyperlink" Target="https://www.we-online.com/redexpert/spec/691321100006?ae" TargetMode="External"/><Relationship Id="rId21" Type="http://schemas.openxmlformats.org/officeDocument/2006/relationships/hyperlink" Target="https://www.infineon.com/assets/row/public/documents/10/49/infineon-tls208d1-ds-en.pdf" TargetMode="External"/><Relationship Id="rId7" Type="http://schemas.openxmlformats.org/officeDocument/2006/relationships/hyperlink" Target="https://www.we-online.com/redexpert/spec/150120RS75000?ae" TargetMode="External"/><Relationship Id="rId12" Type="http://schemas.openxmlformats.org/officeDocument/2006/relationships/hyperlink" Target="https://www.tdk-electronics.tdk.com/inf/50/db/ntc/NTC_SMD_Standard_series_0805.pdf" TargetMode="External"/><Relationship Id="rId17" Type="http://schemas.openxmlformats.org/officeDocument/2006/relationships/hyperlink" Target="https://www.infineon.com/assets/row/public/documents/24/49/infineon-irf100p218-datasheet-en.pdf" TargetMode="External"/><Relationship Id="rId25" Type="http://schemas.openxmlformats.org/officeDocument/2006/relationships/hyperlink" Target="https://www.we-online.com/en/components/products/PHD_2_00_JUMPER_W_TEST_POINT_60800213421" TargetMode="External"/><Relationship Id="rId2" Type="http://schemas.openxmlformats.org/officeDocument/2006/relationships/hyperlink" Target="https://www.we-online.com/components/products/datasheet/691219610003.pdf" TargetMode="External"/><Relationship Id="rId16" Type="http://schemas.openxmlformats.org/officeDocument/2006/relationships/hyperlink" Target="https://www.ti.com/lit/ds/symlink/ina240.pdf?ts=1753933408750" TargetMode="External"/><Relationship Id="rId20" Type="http://schemas.openxmlformats.org/officeDocument/2006/relationships/hyperlink" Target="https://www.infineon.com/assets/row/public/documents/10/49/infineon-tls4125d0ep-v50-datasheet-en.pdf" TargetMode="External"/><Relationship Id="rId29" Type="http://schemas.openxmlformats.org/officeDocument/2006/relationships/hyperlink" Target="https://www.infineon.com/evaluation-board/KIT-PSC3M5-CC1" TargetMode="External"/><Relationship Id="rId1" Type="http://schemas.openxmlformats.org/officeDocument/2006/relationships/hyperlink" Target="https://www.we-online.com/components/products/datasheet/691219610002.pdf" TargetMode="External"/><Relationship Id="rId6" Type="http://schemas.openxmlformats.org/officeDocument/2006/relationships/hyperlink" Target="https://www.infineon.com/assets/row/public/documents/24/49/infineon-irf100p218-datasheet-en.pdf" TargetMode="External"/><Relationship Id="rId11" Type="http://schemas.openxmlformats.org/officeDocument/2006/relationships/hyperlink" Target="https://docs.rs-online.com/3b50/A700000010244389.pdf" TargetMode="External"/><Relationship Id="rId24" Type="http://schemas.openxmlformats.org/officeDocument/2006/relationships/hyperlink" Target="https://www.ti.com/lit/ds/symlink/txu0304.pdf?ts=1753955427569&amp;ref_url=https%253A%252F%252Fwww.ti.com%252Fproduct%252FTXU0304%252Fpart-details%252FTXU0304DTRR" TargetMode="External"/><Relationship Id="rId32" Type="http://schemas.openxmlformats.org/officeDocument/2006/relationships/table" Target="../tables/table2.xml"/><Relationship Id="rId5" Type="http://schemas.openxmlformats.org/officeDocument/2006/relationships/hyperlink" Target="https://www.infineon.com/assets/row/public/documents/24/49/infineon-irf100p218-datasheet-en.pdf" TargetMode="External"/><Relationship Id="rId15" Type="http://schemas.openxmlformats.org/officeDocument/2006/relationships/hyperlink" Target="https://www.samtec.com/de/products/hsec8-160-01-l-dv-a-bl" TargetMode="External"/><Relationship Id="rId23" Type="http://schemas.openxmlformats.org/officeDocument/2006/relationships/hyperlink" Target="https://www.ti.com/lit/ds/symlink/txu0104.pdf?ts=1753915550282&amp;ref_url=https%253A%252F%252Fwww.ti.com%252Fproduct-category%252Flogic-voltage-translation%252Fvoltage-translators-level-shifters%252Fvoltage-translators%252Fproducts.html" TargetMode="External"/><Relationship Id="rId28" Type="http://schemas.openxmlformats.org/officeDocument/2006/relationships/hyperlink" Target="https://www.we-online.com/en/components/products/SPAIE_PLASTIC_SPACER_STUD_METRIC_INTERNAL_EXTERNAL" TargetMode="External"/><Relationship Id="rId10" Type="http://schemas.openxmlformats.org/officeDocument/2006/relationships/hyperlink" Target="https://www.bourns.com/docs/Product-Datasheets/3386.pdf" TargetMode="External"/><Relationship Id="rId19" Type="http://schemas.openxmlformats.org/officeDocument/2006/relationships/hyperlink" Target="https://docs.rs-online.com/9871/0900766b8126d336.pdf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www.onsemi.com/pdf/datasheet/bzx84c2v4lt1-d.pdf" TargetMode="External"/><Relationship Id="rId9" Type="http://schemas.openxmlformats.org/officeDocument/2006/relationships/hyperlink" Target="https://www.infineon.com/assets/row/public/documents/60/49/infineon-2ed2304s06f-datasheet-en.pdf" TargetMode="External"/><Relationship Id="rId14" Type="http://schemas.openxmlformats.org/officeDocument/2006/relationships/hyperlink" Target="https://www.samtec.com/de/products/erf8-040-05.0-l-dv-l-k-tr" TargetMode="External"/><Relationship Id="rId22" Type="http://schemas.openxmlformats.org/officeDocument/2006/relationships/hyperlink" Target="https://www.infineon.com/assets/row/public/documents/10/49/infineon-tls208d1-ds-en.pdf" TargetMode="External"/><Relationship Id="rId27" Type="http://schemas.openxmlformats.org/officeDocument/2006/relationships/hyperlink" Target="https://www.we-online.com/de/components/products/TBL_3_50_3611_VERTICAL_69136110000X" TargetMode="External"/><Relationship Id="rId30" Type="http://schemas.openxmlformats.org/officeDocument/2006/relationships/hyperlink" Target="https://www.digikey.at/en/products/detail/bergquist/SP400-0-007-00-104/52992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-online.com/components/products/datasheet/691219610002.pdf" TargetMode="External"/><Relationship Id="rId13" Type="http://schemas.openxmlformats.org/officeDocument/2006/relationships/hyperlink" Target="https://www.infineon.com/assets/row/public/documents/24/49/infineon-irf100p218-datasheet-en.pdf" TargetMode="External"/><Relationship Id="rId18" Type="http://schemas.openxmlformats.org/officeDocument/2006/relationships/hyperlink" Target="https://www.we-online.com/en/components/products/SPAIE_PLASTIC_SPACER_STUD_METRIC_INTERNAL_EXTERNAL" TargetMode="External"/><Relationship Id="rId3" Type="http://schemas.openxmlformats.org/officeDocument/2006/relationships/hyperlink" Target="https://www.infineon.com/assets/row/public/documents/24/49/infineon-irf100p218-datasheet-en.pdf" TargetMode="External"/><Relationship Id="rId7" Type="http://schemas.openxmlformats.org/officeDocument/2006/relationships/hyperlink" Target="https://www.infineon.com/evaluation-board/KIT-PSC3M5-CC1" TargetMode="External"/><Relationship Id="rId12" Type="http://schemas.openxmlformats.org/officeDocument/2006/relationships/hyperlink" Target="https://www.infineon.com/assets/row/public/documents/24/49/infineon-irf100p218-datasheet-en.pdf" TargetMode="External"/><Relationship Id="rId17" Type="http://schemas.openxmlformats.org/officeDocument/2006/relationships/hyperlink" Target="https://www.we-online.com/de/components/products/TBL_3_50_3611_VERTICAL_69136110000X" TargetMode="External"/><Relationship Id="rId2" Type="http://schemas.openxmlformats.org/officeDocument/2006/relationships/hyperlink" Target="https://www.infineon.com/assets/row/public/documents/60/49/infineon-2ed2304s06f-datasheet-en.pdf" TargetMode="External"/><Relationship Id="rId16" Type="http://schemas.openxmlformats.org/officeDocument/2006/relationships/hyperlink" Target="https://www.we-online.com/de/components/products/TBL_3_50_3611_VERTICAL_69136110000X" TargetMode="External"/><Relationship Id="rId20" Type="http://schemas.openxmlformats.org/officeDocument/2006/relationships/table" Target="../tables/table3.xml"/><Relationship Id="rId1" Type="http://schemas.openxmlformats.org/officeDocument/2006/relationships/hyperlink" Target="https://www.infineon.com/assets/row/public/documents/24/49/infineon-1edl8011-datasheet-en.pdf" TargetMode="External"/><Relationship Id="rId6" Type="http://schemas.openxmlformats.org/officeDocument/2006/relationships/hyperlink" Target="https://www.infineon.com/assets/row/public/documents/10/49/infineon-tls208d1-ds-en.pdf" TargetMode="External"/><Relationship Id="rId11" Type="http://schemas.openxmlformats.org/officeDocument/2006/relationships/hyperlink" Target="https://www.onsemi.com/pdf/datasheet/bzx84c2v4lt1-d.pdf" TargetMode="External"/><Relationship Id="rId5" Type="http://schemas.openxmlformats.org/officeDocument/2006/relationships/hyperlink" Target="https://www.infineon.com/assets/row/public/documents/10/49/infineon-tls208d1-ds-en.pdf" TargetMode="External"/><Relationship Id="rId15" Type="http://schemas.openxmlformats.org/officeDocument/2006/relationships/hyperlink" Target="https://www.we-online.com/en/components/products/PHD_2_00_JUMPER_W_TEST_POINT_60800213421" TargetMode="External"/><Relationship Id="rId10" Type="http://schemas.openxmlformats.org/officeDocument/2006/relationships/hyperlink" Target="https://www.we-online.com/redexpert/spec/691321100006?ae" TargetMode="External"/><Relationship Id="rId19" Type="http://schemas.openxmlformats.org/officeDocument/2006/relationships/hyperlink" Target="https://www.we-online.com/redexpert/spec/860040875005?ae" TargetMode="External"/><Relationship Id="rId4" Type="http://schemas.openxmlformats.org/officeDocument/2006/relationships/hyperlink" Target="https://www.infineon.com/assets/row/public/documents/10/49/infineon-tls4125d0ep-v50-datasheet-en.pdf" TargetMode="External"/><Relationship Id="rId9" Type="http://schemas.openxmlformats.org/officeDocument/2006/relationships/hyperlink" Target="https://www.we-online.com/components/products/datasheet/691219610003.pdf" TargetMode="External"/><Relationship Id="rId14" Type="http://schemas.openxmlformats.org/officeDocument/2006/relationships/hyperlink" Target="https://www.we-online.com/redexpert/spec/150120RS75000?a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lm5013.pdf?ts=1753887799318&amp;ref_url=https%253A%252F%252Fwww.ti.com%252Fpower-management%252Facdc-dcdc-converters%252Fproducts.html" TargetMode="External"/><Relationship Id="rId13" Type="http://schemas.openxmlformats.org/officeDocument/2006/relationships/hyperlink" Target="https://at.rs-online.com/web/p/kuhlkorper/7898554" TargetMode="External"/><Relationship Id="rId3" Type="http://schemas.openxmlformats.org/officeDocument/2006/relationships/hyperlink" Target="https://docs.rs-online.com/3b50/A700000010244389.pdf" TargetMode="External"/><Relationship Id="rId7" Type="http://schemas.openxmlformats.org/officeDocument/2006/relationships/hyperlink" Target="https://www.ti.com/lit/ds/symlink/ina240.pdf?ts=1753933408750" TargetMode="External"/><Relationship Id="rId12" Type="http://schemas.openxmlformats.org/officeDocument/2006/relationships/hyperlink" Target="https://www.digikey.at/en/products/detail/bergquist/SP400-0-007-00-104/529921" TargetMode="External"/><Relationship Id="rId2" Type="http://schemas.openxmlformats.org/officeDocument/2006/relationships/hyperlink" Target="https://www.tdk-electronics.tdk.com/inf/50/db/ntc/NTC_SMD_Standard_series_0805.pdf" TargetMode="External"/><Relationship Id="rId1" Type="http://schemas.openxmlformats.org/officeDocument/2006/relationships/hyperlink" Target="https://www.bourns.com/docs/Product-Datasheets/3386.pdf" TargetMode="External"/><Relationship Id="rId6" Type="http://schemas.openxmlformats.org/officeDocument/2006/relationships/hyperlink" Target="https://www.samtec.com/de/products/hsec8-160-01-l-dv-a-bl" TargetMode="External"/><Relationship Id="rId11" Type="http://schemas.openxmlformats.org/officeDocument/2006/relationships/hyperlink" Target="https://www.ti.com/lit/ds/symlink/txu0304.pdf?ts=1753955427569&amp;ref_url=https%253A%252F%252Fwww.ti.com%252Fproduct%252FTXU0304%252Fpart-details%252FTXU0304DTRR" TargetMode="External"/><Relationship Id="rId5" Type="http://schemas.openxmlformats.org/officeDocument/2006/relationships/hyperlink" Target="https://www.samtec.com/de/products/erf8-040-05.0-l-dv-l-k-tr" TargetMode="External"/><Relationship Id="rId10" Type="http://schemas.openxmlformats.org/officeDocument/2006/relationships/hyperlink" Target="https://www.ti.com/lit/ds/symlink/txu0104.pdf?ts=1753915550282&amp;ref_url=https%253A%252F%252Fwww.ti.com%252Fproduct-category%252Flogic-voltage-translation%252Fvoltage-translators-level-shifters%252Fvoltage-translators%252Fproducts.html" TargetMode="External"/><Relationship Id="rId4" Type="http://schemas.openxmlformats.org/officeDocument/2006/relationships/hyperlink" Target="https://www.onsemi.com/pdf/datasheet/bzx84c2v4lt1-d.pdf" TargetMode="External"/><Relationship Id="rId9" Type="http://schemas.openxmlformats.org/officeDocument/2006/relationships/hyperlink" Target="https://docs.rs-online.com/9871/0900766b8126d336.pdf" TargetMode="External"/><Relationship Id="rId1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B99A-0C4E-4E3D-8AEC-6D7C0C3DB26D}">
  <sheetPr>
    <pageSetUpPr fitToPage="1"/>
  </sheetPr>
  <dimension ref="A1:N193"/>
  <sheetViews>
    <sheetView tabSelected="1" zoomScale="85" zoomScaleNormal="85" workbookViewId="0">
      <pane ySplit="1" topLeftCell="A2" activePane="bottomLeft" state="frozen"/>
      <selection pane="bottomLeft" activeCell="B138" sqref="B138"/>
    </sheetView>
  </sheetViews>
  <sheetFormatPr defaultColWidth="11.5703125" defaultRowHeight="15" x14ac:dyDescent="0.25"/>
  <cols>
    <col min="1" max="1" width="10" style="1" bestFit="1" customWidth="1"/>
    <col min="2" max="2" width="41.85546875" style="1" bestFit="1" customWidth="1"/>
    <col min="3" max="3" width="45.5703125" style="1" bestFit="1" customWidth="1"/>
    <col min="4" max="4" width="23.7109375" style="2" bestFit="1" customWidth="1"/>
    <col min="5" max="5" width="42.5703125" style="1" hidden="1" customWidth="1"/>
    <col min="6" max="6" width="137" style="1" customWidth="1"/>
    <col min="7" max="7" width="20" style="1" bestFit="1" customWidth="1"/>
    <col min="8" max="8" width="126.7109375" style="1" bestFit="1" customWidth="1"/>
    <col min="9" max="12" width="0" style="1" hidden="1" customWidth="1"/>
    <col min="13" max="13" width="15.5703125" style="1" hidden="1" customWidth="1"/>
    <col min="15" max="16384" width="11.5703125" style="1"/>
  </cols>
  <sheetData>
    <row r="1" spans="1:13" s="5" customFormat="1" x14ac:dyDescent="0.25">
      <c r="A1" s="5" t="s">
        <v>0</v>
      </c>
      <c r="B1" s="5" t="s">
        <v>1</v>
      </c>
      <c r="C1" s="5" t="s">
        <v>2</v>
      </c>
      <c r="D1" s="6" t="s">
        <v>9</v>
      </c>
      <c r="E1" s="5" t="s">
        <v>3</v>
      </c>
      <c r="F1" s="5" t="s">
        <v>4</v>
      </c>
      <c r="G1" s="5" t="s">
        <v>413</v>
      </c>
      <c r="H1" s="5" t="s">
        <v>5</v>
      </c>
      <c r="I1" s="5" t="s">
        <v>6</v>
      </c>
      <c r="J1" s="5" t="s">
        <v>11</v>
      </c>
      <c r="K1" s="5" t="s">
        <v>7</v>
      </c>
      <c r="L1" s="5" t="s">
        <v>10</v>
      </c>
      <c r="M1" s="5" t="s">
        <v>8</v>
      </c>
    </row>
    <row r="2" spans="1:13" x14ac:dyDescent="0.25">
      <c r="A2" s="1" t="s">
        <v>241</v>
      </c>
      <c r="B2" s="1" t="s">
        <v>176</v>
      </c>
      <c r="C2" s="1" t="s">
        <v>242</v>
      </c>
      <c r="D2" s="2" t="s">
        <v>242</v>
      </c>
      <c r="E2" s="1" t="s">
        <v>243</v>
      </c>
      <c r="F2" s="1" t="s">
        <v>450</v>
      </c>
      <c r="G2" s="1" t="s">
        <v>448</v>
      </c>
      <c r="H2" s="3" t="s">
        <v>449</v>
      </c>
      <c r="I2" s="1" t="s">
        <v>19</v>
      </c>
      <c r="J2" s="1" t="s">
        <v>18</v>
      </c>
      <c r="K2" s="1" t="s">
        <v>20</v>
      </c>
      <c r="L2" s="1">
        <v>1206</v>
      </c>
      <c r="M2" s="1" t="s">
        <v>21</v>
      </c>
    </row>
    <row r="3" spans="1:13" x14ac:dyDescent="0.25">
      <c r="A3" s="1" t="s">
        <v>391</v>
      </c>
      <c r="B3" s="1" t="s">
        <v>176</v>
      </c>
      <c r="C3" s="1" t="s">
        <v>392</v>
      </c>
      <c r="D3" t="s">
        <v>392</v>
      </c>
      <c r="E3" s="1" t="s">
        <v>393</v>
      </c>
      <c r="F3" s="1" t="s">
        <v>480</v>
      </c>
      <c r="G3" s="1" t="s">
        <v>415</v>
      </c>
      <c r="H3" s="3" t="s">
        <v>392</v>
      </c>
      <c r="I3" s="1" t="s">
        <v>19</v>
      </c>
      <c r="J3" s="1" t="s">
        <v>18</v>
      </c>
      <c r="K3" s="1" t="s">
        <v>20</v>
      </c>
      <c r="L3" s="1">
        <v>1206</v>
      </c>
      <c r="M3" s="1" t="s">
        <v>21</v>
      </c>
    </row>
    <row r="4" spans="1:13" x14ac:dyDescent="0.25">
      <c r="A4" s="1" t="s">
        <v>378</v>
      </c>
      <c r="B4" s="1" t="s">
        <v>176</v>
      </c>
      <c r="C4" s="1" t="s">
        <v>379</v>
      </c>
      <c r="D4" t="s">
        <v>379</v>
      </c>
      <c r="E4" s="1" t="s">
        <v>380</v>
      </c>
      <c r="F4" s="1" t="s">
        <v>470</v>
      </c>
      <c r="G4" s="1" t="s">
        <v>415</v>
      </c>
      <c r="H4" s="3" t="s">
        <v>473</v>
      </c>
      <c r="I4" s="1" t="s">
        <v>32</v>
      </c>
      <c r="J4" s="1" t="s">
        <v>34</v>
      </c>
      <c r="K4" s="1" t="s">
        <v>20</v>
      </c>
      <c r="L4" s="1">
        <v>805</v>
      </c>
      <c r="M4" s="1" t="s">
        <v>33</v>
      </c>
    </row>
    <row r="5" spans="1:13" x14ac:dyDescent="0.25">
      <c r="A5" s="1" t="s">
        <v>381</v>
      </c>
      <c r="B5" s="1" t="s">
        <v>176</v>
      </c>
      <c r="C5" s="1" t="s">
        <v>379</v>
      </c>
      <c r="D5" t="s">
        <v>379</v>
      </c>
      <c r="E5" s="1" t="s">
        <v>380</v>
      </c>
      <c r="F5" s="1" t="s">
        <v>471</v>
      </c>
      <c r="G5" s="1" t="s">
        <v>415</v>
      </c>
      <c r="H5" s="3" t="s">
        <v>473</v>
      </c>
      <c r="I5" s="1" t="s">
        <v>19</v>
      </c>
      <c r="J5" s="1" t="s">
        <v>18</v>
      </c>
      <c r="K5" s="1" t="s">
        <v>20</v>
      </c>
      <c r="L5" s="1">
        <v>1206</v>
      </c>
      <c r="M5" s="1" t="s">
        <v>21</v>
      </c>
    </row>
    <row r="6" spans="1:13" x14ac:dyDescent="0.25">
      <c r="A6" s="1" t="s">
        <v>382</v>
      </c>
      <c r="B6" s="1" t="s">
        <v>176</v>
      </c>
      <c r="C6" s="1" t="s">
        <v>379</v>
      </c>
      <c r="D6" t="s">
        <v>379</v>
      </c>
      <c r="E6" s="1" t="s">
        <v>380</v>
      </c>
      <c r="F6" s="1" t="s">
        <v>472</v>
      </c>
      <c r="G6" s="1" t="s">
        <v>415</v>
      </c>
      <c r="H6" s="3" t="s">
        <v>473</v>
      </c>
      <c r="I6" s="1" t="s">
        <v>32</v>
      </c>
      <c r="J6" s="1" t="s">
        <v>34</v>
      </c>
      <c r="K6" s="1" t="s">
        <v>20</v>
      </c>
      <c r="L6" s="1">
        <v>805</v>
      </c>
      <c r="M6" s="1" t="s">
        <v>33</v>
      </c>
    </row>
    <row r="7" spans="1:13" x14ac:dyDescent="0.25">
      <c r="A7" s="1" t="s">
        <v>244</v>
      </c>
      <c r="B7" s="1" t="s">
        <v>176</v>
      </c>
      <c r="C7" s="1" t="s">
        <v>245</v>
      </c>
      <c r="D7" t="s">
        <v>247</v>
      </c>
      <c r="E7" s="1" t="s">
        <v>246</v>
      </c>
      <c r="F7" s="1" t="s">
        <v>406</v>
      </c>
      <c r="G7" s="1" t="s">
        <v>415</v>
      </c>
      <c r="H7" s="3" t="s">
        <v>451</v>
      </c>
      <c r="I7" s="1" t="s">
        <v>32</v>
      </c>
      <c r="J7" s="1" t="s">
        <v>34</v>
      </c>
      <c r="K7" s="1" t="s">
        <v>20</v>
      </c>
      <c r="L7" s="1">
        <v>805</v>
      </c>
      <c r="M7" s="1" t="s">
        <v>33</v>
      </c>
    </row>
    <row r="8" spans="1:13" x14ac:dyDescent="0.25">
      <c r="A8" s="1" t="s">
        <v>248</v>
      </c>
      <c r="B8" s="1" t="s">
        <v>176</v>
      </c>
      <c r="C8" s="1" t="s">
        <v>245</v>
      </c>
      <c r="D8" t="s">
        <v>458</v>
      </c>
      <c r="E8" s="1" t="s">
        <v>246</v>
      </c>
      <c r="F8" s="1" t="s">
        <v>407</v>
      </c>
      <c r="G8" s="1" t="s">
        <v>415</v>
      </c>
      <c r="H8" s="3" t="s">
        <v>452</v>
      </c>
      <c r="I8" s="1" t="s">
        <v>32</v>
      </c>
      <c r="J8" s="1" t="s">
        <v>34</v>
      </c>
      <c r="K8" s="1" t="s">
        <v>20</v>
      </c>
      <c r="L8" s="1">
        <v>805</v>
      </c>
      <c r="M8" s="1" t="s">
        <v>33</v>
      </c>
    </row>
    <row r="9" spans="1:13" x14ac:dyDescent="0.25">
      <c r="A9" s="1" t="s">
        <v>249</v>
      </c>
      <c r="B9" s="1" t="s">
        <v>176</v>
      </c>
      <c r="C9" s="1" t="s">
        <v>245</v>
      </c>
      <c r="D9" t="s">
        <v>459</v>
      </c>
      <c r="E9" s="1" t="s">
        <v>246</v>
      </c>
      <c r="F9" s="1" t="s">
        <v>408</v>
      </c>
      <c r="G9" s="1" t="s">
        <v>415</v>
      </c>
      <c r="H9" s="3" t="s">
        <v>453</v>
      </c>
      <c r="I9" s="1" t="s">
        <v>19</v>
      </c>
      <c r="J9" s="1" t="s">
        <v>18</v>
      </c>
      <c r="K9" s="1" t="s">
        <v>20</v>
      </c>
      <c r="L9" s="1">
        <v>1206</v>
      </c>
      <c r="M9" s="1" t="s">
        <v>21</v>
      </c>
    </row>
    <row r="10" spans="1:13" x14ac:dyDescent="0.25">
      <c r="A10" s="1" t="s">
        <v>250</v>
      </c>
      <c r="B10" s="1" t="s">
        <v>176</v>
      </c>
      <c r="C10" s="1" t="s">
        <v>245</v>
      </c>
      <c r="D10" t="s">
        <v>460</v>
      </c>
      <c r="E10" s="1" t="s">
        <v>246</v>
      </c>
      <c r="F10" s="1" t="s">
        <v>409</v>
      </c>
      <c r="G10" s="1" t="s">
        <v>415</v>
      </c>
      <c r="H10" s="3" t="s">
        <v>454</v>
      </c>
      <c r="I10" s="1" t="s">
        <v>19</v>
      </c>
      <c r="J10" s="1" t="s">
        <v>18</v>
      </c>
      <c r="K10" s="1" t="s">
        <v>20</v>
      </c>
      <c r="L10" s="1">
        <v>1206</v>
      </c>
      <c r="M10" s="1" t="s">
        <v>21</v>
      </c>
    </row>
    <row r="11" spans="1:13" x14ac:dyDescent="0.25">
      <c r="A11" s="1" t="s">
        <v>251</v>
      </c>
      <c r="B11" s="1" t="s">
        <v>176</v>
      </c>
      <c r="C11" s="1" t="s">
        <v>245</v>
      </c>
      <c r="D11" t="s">
        <v>461</v>
      </c>
      <c r="E11" s="1" t="s">
        <v>246</v>
      </c>
      <c r="F11" s="1" t="s">
        <v>410</v>
      </c>
      <c r="G11" s="1" t="s">
        <v>415</v>
      </c>
      <c r="H11" s="3" t="s">
        <v>455</v>
      </c>
      <c r="I11" s="1" t="s">
        <v>32</v>
      </c>
      <c r="J11" s="1" t="s">
        <v>34</v>
      </c>
      <c r="K11" s="1" t="s">
        <v>20</v>
      </c>
      <c r="L11" s="1">
        <v>805</v>
      </c>
      <c r="M11" s="1" t="s">
        <v>33</v>
      </c>
    </row>
    <row r="12" spans="1:13" x14ac:dyDescent="0.25">
      <c r="A12" s="1" t="s">
        <v>252</v>
      </c>
      <c r="B12" s="1" t="s">
        <v>176</v>
      </c>
      <c r="C12" s="1" t="s">
        <v>245</v>
      </c>
      <c r="D12" t="s">
        <v>462</v>
      </c>
      <c r="E12" s="1" t="s">
        <v>246</v>
      </c>
      <c r="F12" s="1" t="s">
        <v>411</v>
      </c>
      <c r="G12" s="1" t="s">
        <v>415</v>
      </c>
      <c r="H12" s="3" t="s">
        <v>456</v>
      </c>
      <c r="I12" s="1" t="s">
        <v>32</v>
      </c>
      <c r="J12" s="1" t="s">
        <v>34</v>
      </c>
      <c r="K12" s="1" t="s">
        <v>20</v>
      </c>
      <c r="L12" s="1">
        <v>805</v>
      </c>
      <c r="M12" s="1" t="s">
        <v>33</v>
      </c>
    </row>
    <row r="13" spans="1:13" x14ac:dyDescent="0.25">
      <c r="A13" s="1" t="s">
        <v>253</v>
      </c>
      <c r="B13" s="1" t="s">
        <v>176</v>
      </c>
      <c r="C13" s="1" t="s">
        <v>245</v>
      </c>
      <c r="D13" t="s">
        <v>463</v>
      </c>
      <c r="E13" s="1" t="s">
        <v>246</v>
      </c>
      <c r="F13" s="1" t="s">
        <v>412</v>
      </c>
      <c r="G13" s="1" t="s">
        <v>415</v>
      </c>
      <c r="H13" s="3" t="s">
        <v>457</v>
      </c>
      <c r="I13" s="1" t="s">
        <v>19</v>
      </c>
      <c r="J13" s="1" t="s">
        <v>18</v>
      </c>
      <c r="K13" s="1" t="s">
        <v>20</v>
      </c>
      <c r="L13" s="1">
        <v>1206</v>
      </c>
      <c r="M13" s="1" t="s">
        <v>21</v>
      </c>
    </row>
    <row r="14" spans="1:13" x14ac:dyDescent="0.25">
      <c r="A14" s="1" t="s">
        <v>191</v>
      </c>
      <c r="B14" s="1" t="s">
        <v>176</v>
      </c>
      <c r="C14" s="1" t="s">
        <v>192</v>
      </c>
      <c r="D14" s="2" t="s">
        <v>192</v>
      </c>
      <c r="E14" s="1" t="s">
        <v>193</v>
      </c>
      <c r="F14" s="1" t="s">
        <v>481</v>
      </c>
      <c r="G14" s="1" t="s">
        <v>415</v>
      </c>
      <c r="H14" s="3" t="s">
        <v>424</v>
      </c>
      <c r="I14" s="1" t="s">
        <v>50</v>
      </c>
    </row>
    <row r="15" spans="1:13" x14ac:dyDescent="0.25">
      <c r="A15" s="1" t="s">
        <v>194</v>
      </c>
      <c r="B15" s="1" t="s">
        <v>176</v>
      </c>
      <c r="C15" s="1" t="s">
        <v>195</v>
      </c>
      <c r="D15" s="2" t="s">
        <v>425</v>
      </c>
      <c r="E15" s="1" t="s">
        <v>193</v>
      </c>
      <c r="F15" s="1" t="s">
        <v>482</v>
      </c>
      <c r="G15" s="1" t="s">
        <v>415</v>
      </c>
      <c r="H15" s="3" t="s">
        <v>424</v>
      </c>
      <c r="I15" s="1" t="s">
        <v>50</v>
      </c>
    </row>
    <row r="16" spans="1:13" x14ac:dyDescent="0.25">
      <c r="A16" s="1" t="s">
        <v>188</v>
      </c>
      <c r="B16" s="1" t="s">
        <v>176</v>
      </c>
      <c r="C16" s="1" t="s">
        <v>189</v>
      </c>
      <c r="D16" t="s">
        <v>422</v>
      </c>
      <c r="E16" s="1" t="s">
        <v>190</v>
      </c>
      <c r="F16" s="1" t="s">
        <v>423</v>
      </c>
      <c r="G16" s="1" t="s">
        <v>415</v>
      </c>
      <c r="H16" s="3" t="s">
        <v>421</v>
      </c>
      <c r="I16" s="1" t="s">
        <v>50</v>
      </c>
    </row>
    <row r="17" spans="1:13" x14ac:dyDescent="0.25">
      <c r="A17" s="1" t="s">
        <v>175</v>
      </c>
      <c r="B17" s="1" t="s">
        <v>176</v>
      </c>
      <c r="C17" s="1" t="s">
        <v>177</v>
      </c>
      <c r="D17" s="2" t="s">
        <v>178</v>
      </c>
      <c r="F17" s="1" t="s">
        <v>418</v>
      </c>
      <c r="G17" s="1" t="s">
        <v>419</v>
      </c>
      <c r="H17" s="3" t="s">
        <v>420</v>
      </c>
      <c r="I17" s="1" t="s">
        <v>19</v>
      </c>
      <c r="J17" s="1" t="s">
        <v>59</v>
      </c>
      <c r="K17" s="1" t="s">
        <v>20</v>
      </c>
      <c r="L17" s="1">
        <v>1210</v>
      </c>
      <c r="M17" s="1" t="s">
        <v>58</v>
      </c>
    </row>
    <row r="18" spans="1:13" x14ac:dyDescent="0.25">
      <c r="A18" s="1" t="s">
        <v>179</v>
      </c>
      <c r="B18" s="1" t="s">
        <v>176</v>
      </c>
      <c r="C18" s="1" t="s">
        <v>177</v>
      </c>
      <c r="D18" s="2" t="s">
        <v>178</v>
      </c>
      <c r="F18" s="1" t="s">
        <v>418</v>
      </c>
      <c r="G18" s="1" t="s">
        <v>419</v>
      </c>
      <c r="H18" s="3" t="s">
        <v>420</v>
      </c>
      <c r="I18" s="1" t="s">
        <v>19</v>
      </c>
      <c r="J18" s="1" t="s">
        <v>59</v>
      </c>
      <c r="K18" s="1" t="s">
        <v>20</v>
      </c>
      <c r="L18" s="1">
        <v>1210</v>
      </c>
      <c r="M18" s="1" t="s">
        <v>58</v>
      </c>
    </row>
    <row r="19" spans="1:13" x14ac:dyDescent="0.25">
      <c r="A19" s="1" t="s">
        <v>180</v>
      </c>
      <c r="B19" s="1" t="s">
        <v>176</v>
      </c>
      <c r="C19" s="1" t="s">
        <v>177</v>
      </c>
      <c r="D19" s="2" t="s">
        <v>178</v>
      </c>
      <c r="F19" s="1" t="s">
        <v>418</v>
      </c>
      <c r="G19" s="1" t="s">
        <v>419</v>
      </c>
      <c r="H19" s="3" t="s">
        <v>420</v>
      </c>
      <c r="I19" s="1" t="s">
        <v>19</v>
      </c>
      <c r="J19" s="1" t="s">
        <v>59</v>
      </c>
      <c r="K19" s="1" t="s">
        <v>20</v>
      </c>
      <c r="L19" s="1">
        <v>1210</v>
      </c>
      <c r="M19" s="1" t="s">
        <v>58</v>
      </c>
    </row>
    <row r="20" spans="1:13" x14ac:dyDescent="0.25">
      <c r="A20" s="1" t="s">
        <v>181</v>
      </c>
      <c r="B20" s="1" t="s">
        <v>176</v>
      </c>
      <c r="C20" s="1" t="s">
        <v>177</v>
      </c>
      <c r="D20" s="2" t="s">
        <v>178</v>
      </c>
      <c r="E20" s="1" t="s">
        <v>178</v>
      </c>
      <c r="F20" s="1" t="s">
        <v>418</v>
      </c>
      <c r="G20" s="1" t="s">
        <v>419</v>
      </c>
      <c r="H20" s="3" t="s">
        <v>420</v>
      </c>
      <c r="I20" s="1" t="s">
        <v>19</v>
      </c>
      <c r="J20" s="1" t="s">
        <v>59</v>
      </c>
      <c r="K20" s="1" t="s">
        <v>20</v>
      </c>
      <c r="L20" s="1">
        <v>1210</v>
      </c>
      <c r="M20" s="1" t="s">
        <v>58</v>
      </c>
    </row>
    <row r="21" spans="1:13" x14ac:dyDescent="0.25">
      <c r="A21" s="1" t="s">
        <v>187</v>
      </c>
      <c r="B21" s="1" t="s">
        <v>176</v>
      </c>
      <c r="C21" s="1" t="s">
        <v>177</v>
      </c>
      <c r="D21" s="2" t="s">
        <v>178</v>
      </c>
      <c r="E21" s="1" t="s">
        <v>178</v>
      </c>
      <c r="F21" s="1" t="s">
        <v>418</v>
      </c>
      <c r="G21" s="1" t="s">
        <v>419</v>
      </c>
      <c r="H21" s="3" t="s">
        <v>420</v>
      </c>
      <c r="I21" s="1" t="s">
        <v>19</v>
      </c>
      <c r="J21" s="1" t="s">
        <v>59</v>
      </c>
      <c r="K21" s="1" t="s">
        <v>20</v>
      </c>
      <c r="L21" s="1">
        <v>1210</v>
      </c>
      <c r="M21" s="1" t="s">
        <v>58</v>
      </c>
    </row>
    <row r="22" spans="1:13" x14ac:dyDescent="0.25">
      <c r="A22" s="1" t="s">
        <v>196</v>
      </c>
      <c r="B22" s="1" t="s">
        <v>176</v>
      </c>
      <c r="C22" s="1" t="s">
        <v>197</v>
      </c>
      <c r="D22" t="s">
        <v>429</v>
      </c>
      <c r="E22" s="1" t="s">
        <v>198</v>
      </c>
      <c r="F22" s="1" t="s">
        <v>428</v>
      </c>
      <c r="G22" s="1" t="s">
        <v>426</v>
      </c>
      <c r="H22" s="3" t="s">
        <v>427</v>
      </c>
      <c r="I22" s="1" t="s">
        <v>19</v>
      </c>
      <c r="J22" s="1" t="s">
        <v>59</v>
      </c>
      <c r="K22" s="1" t="s">
        <v>20</v>
      </c>
      <c r="L22" s="1">
        <v>1210</v>
      </c>
      <c r="M22" s="1" t="s">
        <v>58</v>
      </c>
    </row>
    <row r="23" spans="1:13" x14ac:dyDescent="0.25">
      <c r="A23" s="1" t="s">
        <v>215</v>
      </c>
      <c r="B23" s="2" t="s">
        <v>176</v>
      </c>
      <c r="C23" s="1" t="s">
        <v>216</v>
      </c>
      <c r="D23" s="2" t="s">
        <v>216</v>
      </c>
      <c r="E23" s="1" t="s">
        <v>217</v>
      </c>
      <c r="F23" s="1" t="s">
        <v>436</v>
      </c>
      <c r="G23" s="1" t="s">
        <v>225</v>
      </c>
      <c r="H23" s="3" t="s">
        <v>437</v>
      </c>
      <c r="I23" s="1" t="s">
        <v>70</v>
      </c>
    </row>
    <row r="24" spans="1:13" x14ac:dyDescent="0.25">
      <c r="A24" s="1" t="s">
        <v>218</v>
      </c>
      <c r="B24" s="2" t="s">
        <v>176</v>
      </c>
      <c r="C24" s="1" t="s">
        <v>216</v>
      </c>
      <c r="D24" s="2" t="s">
        <v>216</v>
      </c>
      <c r="E24" s="1" t="s">
        <v>217</v>
      </c>
      <c r="F24" s="1" t="s">
        <v>438</v>
      </c>
      <c r="G24" s="1" t="s">
        <v>225</v>
      </c>
      <c r="H24" s="3" t="s">
        <v>437</v>
      </c>
      <c r="I24" s="1" t="s">
        <v>19</v>
      </c>
      <c r="J24" s="1" t="s">
        <v>18</v>
      </c>
      <c r="K24" s="1" t="s">
        <v>20</v>
      </c>
      <c r="L24" s="1">
        <v>1206</v>
      </c>
      <c r="M24" s="1" t="s">
        <v>21</v>
      </c>
    </row>
    <row r="25" spans="1:13" x14ac:dyDescent="0.25">
      <c r="A25" s="1" t="s">
        <v>222</v>
      </c>
      <c r="B25" s="2" t="s">
        <v>176</v>
      </c>
      <c r="C25" s="1" t="s">
        <v>223</v>
      </c>
      <c r="D25" s="2" t="s">
        <v>442</v>
      </c>
      <c r="E25" s="1" t="s">
        <v>224</v>
      </c>
      <c r="F25" s="1" t="s">
        <v>443</v>
      </c>
      <c r="G25" s="1" t="s">
        <v>225</v>
      </c>
      <c r="H25" s="3" t="s">
        <v>444</v>
      </c>
      <c r="I25" s="1" t="s">
        <v>77</v>
      </c>
    </row>
    <row r="26" spans="1:13" x14ac:dyDescent="0.25">
      <c r="A26" s="1" t="s">
        <v>383</v>
      </c>
      <c r="B26" s="1" t="s">
        <v>176</v>
      </c>
      <c r="C26" s="1" t="s">
        <v>384</v>
      </c>
      <c r="D26" t="s">
        <v>477</v>
      </c>
      <c r="E26" s="1" t="s">
        <v>385</v>
      </c>
      <c r="F26" s="1" t="s">
        <v>474</v>
      </c>
      <c r="G26" s="1" t="s">
        <v>475</v>
      </c>
      <c r="H26" s="3" t="s">
        <v>476</v>
      </c>
      <c r="I26" s="1" t="s">
        <v>32</v>
      </c>
      <c r="J26" s="1" t="s">
        <v>34</v>
      </c>
      <c r="K26" s="1" t="s">
        <v>20</v>
      </c>
      <c r="L26" s="1">
        <v>805</v>
      </c>
      <c r="M26" s="1" t="s">
        <v>33</v>
      </c>
    </row>
    <row r="27" spans="1:13" x14ac:dyDescent="0.25">
      <c r="A27" s="1" t="s">
        <v>386</v>
      </c>
      <c r="B27" s="1" t="s">
        <v>176</v>
      </c>
      <c r="C27" s="1" t="s">
        <v>387</v>
      </c>
      <c r="D27" s="2" t="s">
        <v>390</v>
      </c>
      <c r="E27" s="1" t="s">
        <v>388</v>
      </c>
      <c r="F27" s="1" t="s">
        <v>478</v>
      </c>
      <c r="G27" s="1" t="s">
        <v>389</v>
      </c>
      <c r="H27" s="3" t="s">
        <v>479</v>
      </c>
      <c r="I27" s="1" t="s">
        <v>32</v>
      </c>
      <c r="J27" s="1" t="s">
        <v>34</v>
      </c>
      <c r="K27" s="1" t="s">
        <v>20</v>
      </c>
      <c r="L27" s="1">
        <v>805</v>
      </c>
      <c r="M27" s="1" t="s">
        <v>33</v>
      </c>
    </row>
    <row r="28" spans="1:13" x14ac:dyDescent="0.25">
      <c r="A28" s="1" t="s">
        <v>394</v>
      </c>
      <c r="B28" s="1" t="s">
        <v>176</v>
      </c>
      <c r="C28" s="1" t="s">
        <v>387</v>
      </c>
      <c r="D28" s="2" t="s">
        <v>390</v>
      </c>
      <c r="E28" s="1" t="s">
        <v>388</v>
      </c>
      <c r="F28" s="1" t="s">
        <v>478</v>
      </c>
      <c r="G28" s="1" t="s">
        <v>389</v>
      </c>
      <c r="H28" s="3" t="s">
        <v>479</v>
      </c>
      <c r="I28" s="1" t="s">
        <v>19</v>
      </c>
      <c r="J28" s="1" t="s">
        <v>59</v>
      </c>
      <c r="K28" s="1" t="s">
        <v>20</v>
      </c>
      <c r="L28" s="1">
        <v>1210</v>
      </c>
      <c r="M28" s="1" t="s">
        <v>58</v>
      </c>
    </row>
    <row r="29" spans="1:13" x14ac:dyDescent="0.25">
      <c r="A29" s="1" t="s">
        <v>395</v>
      </c>
      <c r="B29" s="1" t="s">
        <v>176</v>
      </c>
      <c r="C29" s="1" t="s">
        <v>387</v>
      </c>
      <c r="D29" s="2" t="s">
        <v>390</v>
      </c>
      <c r="E29" s="1" t="s">
        <v>388</v>
      </c>
      <c r="F29" s="1" t="s">
        <v>478</v>
      </c>
      <c r="G29" s="1" t="s">
        <v>389</v>
      </c>
      <c r="H29" s="3" t="s">
        <v>479</v>
      </c>
      <c r="I29" s="1" t="s">
        <v>19</v>
      </c>
      <c r="J29" s="1" t="s">
        <v>18</v>
      </c>
      <c r="K29" s="1" t="s">
        <v>20</v>
      </c>
      <c r="L29" s="1">
        <v>1206</v>
      </c>
      <c r="M29" s="1" t="s">
        <v>21</v>
      </c>
    </row>
    <row r="30" spans="1:13" x14ac:dyDescent="0.25">
      <c r="A30" s="1" t="s">
        <v>396</v>
      </c>
      <c r="B30" s="1" t="s">
        <v>176</v>
      </c>
      <c r="C30" s="1" t="s">
        <v>387</v>
      </c>
      <c r="D30" s="2" t="s">
        <v>390</v>
      </c>
      <c r="E30" s="1" t="s">
        <v>388</v>
      </c>
      <c r="F30" s="1" t="s">
        <v>478</v>
      </c>
      <c r="G30" s="1" t="s">
        <v>389</v>
      </c>
      <c r="H30" s="3" t="s">
        <v>479</v>
      </c>
      <c r="I30" s="1" t="s">
        <v>19</v>
      </c>
      <c r="J30" s="1" t="s">
        <v>18</v>
      </c>
      <c r="K30" s="1" t="s">
        <v>20</v>
      </c>
      <c r="L30" s="1">
        <v>1206</v>
      </c>
      <c r="M30" s="1" t="s">
        <v>21</v>
      </c>
    </row>
    <row r="31" spans="1:13" x14ac:dyDescent="0.25">
      <c r="A31" s="1" t="s">
        <v>375</v>
      </c>
      <c r="B31" s="1" t="s">
        <v>176</v>
      </c>
      <c r="C31" s="1" t="s">
        <v>376</v>
      </c>
      <c r="D31" s="2" t="s">
        <v>376</v>
      </c>
      <c r="E31" s="1" t="s">
        <v>377</v>
      </c>
      <c r="F31" s="1" t="s">
        <v>489</v>
      </c>
      <c r="G31" s="1" t="s">
        <v>389</v>
      </c>
      <c r="H31" s="3" t="s">
        <v>469</v>
      </c>
      <c r="I31" s="1" t="s">
        <v>32</v>
      </c>
      <c r="J31" s="1" t="s">
        <v>34</v>
      </c>
      <c r="K31" s="1" t="s">
        <v>20</v>
      </c>
      <c r="L31" s="1">
        <v>805</v>
      </c>
      <c r="M31" s="1" t="s">
        <v>33</v>
      </c>
    </row>
    <row r="32" spans="1:13" x14ac:dyDescent="0.25">
      <c r="A32" s="1" t="s">
        <v>402</v>
      </c>
      <c r="B32" s="1" t="s">
        <v>176</v>
      </c>
      <c r="C32" s="1" t="s">
        <v>403</v>
      </c>
      <c r="D32" s="2" t="s">
        <v>405</v>
      </c>
      <c r="E32" s="1" t="s">
        <v>404</v>
      </c>
      <c r="F32" s="1" t="s">
        <v>488</v>
      </c>
      <c r="G32" s="1" t="s">
        <v>389</v>
      </c>
      <c r="H32" s="3" t="s">
        <v>485</v>
      </c>
      <c r="I32" s="1" t="s">
        <v>19</v>
      </c>
      <c r="J32" s="1" t="s">
        <v>18</v>
      </c>
      <c r="K32" s="1" t="s">
        <v>20</v>
      </c>
      <c r="L32" s="1">
        <v>1206</v>
      </c>
      <c r="M32" s="1" t="s">
        <v>33</v>
      </c>
    </row>
    <row r="33" spans="1:13" x14ac:dyDescent="0.25">
      <c r="A33" s="1" t="s">
        <v>397</v>
      </c>
      <c r="B33" s="1" t="s">
        <v>176</v>
      </c>
      <c r="C33" s="1" t="s">
        <v>398</v>
      </c>
      <c r="D33" s="2" t="s">
        <v>400</v>
      </c>
      <c r="E33" s="1" t="s">
        <v>399</v>
      </c>
      <c r="F33" s="1" t="s">
        <v>486</v>
      </c>
      <c r="G33" s="1" t="s">
        <v>389</v>
      </c>
      <c r="H33" s="3" t="s">
        <v>484</v>
      </c>
      <c r="I33" s="1" t="s">
        <v>19</v>
      </c>
      <c r="J33" s="1" t="s">
        <v>18</v>
      </c>
      <c r="K33" s="1" t="s">
        <v>20</v>
      </c>
      <c r="L33" s="1">
        <v>1206</v>
      </c>
      <c r="M33" s="1" t="s">
        <v>21</v>
      </c>
    </row>
    <row r="34" spans="1:13" x14ac:dyDescent="0.25">
      <c r="A34" s="1" t="s">
        <v>401</v>
      </c>
      <c r="B34" s="1" t="s">
        <v>176</v>
      </c>
      <c r="C34" s="1" t="s">
        <v>398</v>
      </c>
      <c r="D34" s="2" t="s">
        <v>400</v>
      </c>
      <c r="E34" s="1" t="s">
        <v>399</v>
      </c>
      <c r="F34" s="1" t="s">
        <v>487</v>
      </c>
      <c r="G34" s="1" t="s">
        <v>389</v>
      </c>
      <c r="H34" s="3" t="s">
        <v>484</v>
      </c>
      <c r="I34" s="1" t="s">
        <v>70</v>
      </c>
    </row>
    <row r="35" spans="1:13" x14ac:dyDescent="0.25">
      <c r="A35" s="1" t="s">
        <v>370</v>
      </c>
      <c r="B35" s="1" t="s">
        <v>176</v>
      </c>
      <c r="C35" s="2">
        <v>430181038816</v>
      </c>
      <c r="D35" s="2">
        <v>430181038816</v>
      </c>
      <c r="E35" s="2">
        <v>430181038816</v>
      </c>
      <c r="F35" s="1" t="s">
        <v>371</v>
      </c>
      <c r="G35" s="1" t="s">
        <v>414</v>
      </c>
      <c r="H35" s="1" t="s">
        <v>372</v>
      </c>
      <c r="I35" s="1" t="s">
        <v>32</v>
      </c>
      <c r="J35" s="1" t="s">
        <v>34</v>
      </c>
      <c r="K35" s="1" t="s">
        <v>20</v>
      </c>
      <c r="L35" s="1">
        <v>805</v>
      </c>
      <c r="M35" s="1" t="s">
        <v>33</v>
      </c>
    </row>
    <row r="36" spans="1:13" x14ac:dyDescent="0.25">
      <c r="A36" s="1" t="s">
        <v>374</v>
      </c>
      <c r="B36" s="1" t="s">
        <v>176</v>
      </c>
      <c r="C36" s="2">
        <v>430181038816</v>
      </c>
      <c r="D36" s="2">
        <v>430181038816</v>
      </c>
      <c r="E36" s="2">
        <v>430181038816</v>
      </c>
      <c r="F36" s="1" t="s">
        <v>371</v>
      </c>
      <c r="G36" s="1" t="s">
        <v>414</v>
      </c>
      <c r="H36" s="1" t="s">
        <v>372</v>
      </c>
      <c r="I36" s="1" t="s">
        <v>32</v>
      </c>
      <c r="J36" s="1" t="s">
        <v>34</v>
      </c>
      <c r="K36" s="1" t="s">
        <v>20</v>
      </c>
      <c r="L36" s="1">
        <v>805</v>
      </c>
      <c r="M36" s="1" t="s">
        <v>33</v>
      </c>
    </row>
    <row r="37" spans="1:13" x14ac:dyDescent="0.25">
      <c r="A37" s="1" t="s">
        <v>227</v>
      </c>
      <c r="B37" s="2" t="s">
        <v>176</v>
      </c>
      <c r="C37" s="2">
        <v>691321100004</v>
      </c>
      <c r="D37" s="2">
        <v>691321100004</v>
      </c>
      <c r="E37" s="2">
        <v>691321100004</v>
      </c>
      <c r="F37" s="1" t="s">
        <v>446</v>
      </c>
      <c r="G37" s="1" t="s">
        <v>414</v>
      </c>
      <c r="H37" s="1" t="s">
        <v>228</v>
      </c>
      <c r="I37" s="1" t="s">
        <v>32</v>
      </c>
      <c r="J37" s="1" t="s">
        <v>34</v>
      </c>
      <c r="K37" s="1" t="s">
        <v>20</v>
      </c>
      <c r="L37" s="1">
        <v>805</v>
      </c>
      <c r="M37" s="1" t="s">
        <v>33</v>
      </c>
    </row>
    <row r="38" spans="1:13" x14ac:dyDescent="0.25">
      <c r="A38" s="1" t="s">
        <v>208</v>
      </c>
      <c r="B38" s="2" t="s">
        <v>176</v>
      </c>
      <c r="C38" s="2">
        <v>691321100006</v>
      </c>
      <c r="D38" s="2">
        <v>691321100006</v>
      </c>
      <c r="E38" s="2">
        <v>691321100006</v>
      </c>
      <c r="F38" s="1" t="s">
        <v>434</v>
      </c>
      <c r="G38" s="1" t="s">
        <v>414</v>
      </c>
      <c r="H38" s="4" t="s">
        <v>210</v>
      </c>
      <c r="I38" s="1" t="s">
        <v>32</v>
      </c>
      <c r="J38" s="1" t="s">
        <v>34</v>
      </c>
      <c r="K38" s="1" t="s">
        <v>20</v>
      </c>
      <c r="L38" s="1">
        <v>805</v>
      </c>
      <c r="M38" s="1" t="s">
        <v>33</v>
      </c>
    </row>
    <row r="39" spans="1:13" x14ac:dyDescent="0.25">
      <c r="A39" s="1" t="s">
        <v>219</v>
      </c>
      <c r="B39" s="2" t="s">
        <v>176</v>
      </c>
      <c r="C39" s="2">
        <v>691321100006</v>
      </c>
      <c r="D39" s="2">
        <v>691321100006</v>
      </c>
      <c r="E39" s="2">
        <v>691321100006</v>
      </c>
      <c r="F39" s="1" t="s">
        <v>439</v>
      </c>
      <c r="G39" s="1" t="s">
        <v>414</v>
      </c>
      <c r="H39" s="1" t="s">
        <v>210</v>
      </c>
      <c r="I39" s="1" t="s">
        <v>19</v>
      </c>
      <c r="J39" s="1" t="s">
        <v>59</v>
      </c>
      <c r="K39" s="1" t="s">
        <v>20</v>
      </c>
      <c r="L39" s="1">
        <v>1210</v>
      </c>
      <c r="M39" s="1" t="s">
        <v>58</v>
      </c>
    </row>
    <row r="40" spans="1:13" x14ac:dyDescent="0.25">
      <c r="A40" s="1" t="s">
        <v>220</v>
      </c>
      <c r="B40" s="2" t="s">
        <v>176</v>
      </c>
      <c r="C40" s="2">
        <v>691321100006</v>
      </c>
      <c r="D40" s="2">
        <v>691321100006</v>
      </c>
      <c r="E40" s="2">
        <v>691321100006</v>
      </c>
      <c r="F40" s="1" t="s">
        <v>440</v>
      </c>
      <c r="G40" s="1" t="s">
        <v>414</v>
      </c>
      <c r="H40" s="1" t="s">
        <v>210</v>
      </c>
      <c r="I40" s="1" t="s">
        <v>32</v>
      </c>
      <c r="J40" s="1" t="s">
        <v>34</v>
      </c>
      <c r="K40" s="1" t="s">
        <v>20</v>
      </c>
      <c r="L40" s="1">
        <v>805</v>
      </c>
      <c r="M40" s="1" t="s">
        <v>33</v>
      </c>
    </row>
    <row r="41" spans="1:13" x14ac:dyDescent="0.25">
      <c r="A41" s="1" t="s">
        <v>203</v>
      </c>
      <c r="B41" s="1" t="s">
        <v>176</v>
      </c>
      <c r="C41" s="1" t="s">
        <v>204</v>
      </c>
      <c r="D41" s="2">
        <v>61300611121</v>
      </c>
      <c r="E41" s="2">
        <v>61300611121</v>
      </c>
      <c r="F41" s="1" t="s">
        <v>433</v>
      </c>
      <c r="G41" s="1" t="s">
        <v>414</v>
      </c>
      <c r="H41" s="1" t="s">
        <v>206</v>
      </c>
      <c r="I41" s="1" t="s">
        <v>32</v>
      </c>
      <c r="J41" s="1" t="s">
        <v>34</v>
      </c>
      <c r="K41" s="1" t="s">
        <v>20</v>
      </c>
      <c r="L41" s="1">
        <v>805</v>
      </c>
      <c r="M41" s="1" t="s">
        <v>33</v>
      </c>
    </row>
    <row r="42" spans="1:13" x14ac:dyDescent="0.25">
      <c r="A42" s="1" t="s">
        <v>229</v>
      </c>
      <c r="B42" s="2" t="s">
        <v>176</v>
      </c>
      <c r="C42" s="1" t="s">
        <v>204</v>
      </c>
      <c r="D42" s="2">
        <v>61300611121</v>
      </c>
      <c r="E42" s="2">
        <v>61300611121</v>
      </c>
      <c r="F42" s="1" t="s">
        <v>447</v>
      </c>
      <c r="G42" s="1" t="s">
        <v>414</v>
      </c>
      <c r="H42" s="1" t="s">
        <v>206</v>
      </c>
      <c r="I42" s="1" t="s">
        <v>19</v>
      </c>
      <c r="J42" s="1" t="s">
        <v>18</v>
      </c>
      <c r="K42" s="1" t="s">
        <v>20</v>
      </c>
      <c r="L42" s="1">
        <v>1206</v>
      </c>
      <c r="M42" s="1" t="s">
        <v>21</v>
      </c>
    </row>
    <row r="43" spans="1:13" x14ac:dyDescent="0.25">
      <c r="A43" s="1" t="s">
        <v>211</v>
      </c>
      <c r="B43" s="2" t="s">
        <v>176</v>
      </c>
      <c r="C43" s="1" t="s">
        <v>212</v>
      </c>
      <c r="D43" s="2">
        <v>62000311121</v>
      </c>
      <c r="E43" s="2">
        <v>62000311121</v>
      </c>
      <c r="F43" s="1" t="s">
        <v>435</v>
      </c>
      <c r="G43" s="1" t="s">
        <v>414</v>
      </c>
      <c r="H43" s="1" t="s">
        <v>214</v>
      </c>
      <c r="I43" s="1" t="s">
        <v>32</v>
      </c>
      <c r="J43" s="1" t="s">
        <v>34</v>
      </c>
      <c r="K43" s="1" t="s">
        <v>20</v>
      </c>
      <c r="L43" s="1">
        <v>805</v>
      </c>
      <c r="M43" s="1" t="s">
        <v>33</v>
      </c>
    </row>
    <row r="44" spans="1:13" x14ac:dyDescent="0.25">
      <c r="A44" s="1" t="s">
        <v>221</v>
      </c>
      <c r="B44" s="2" t="s">
        <v>176</v>
      </c>
      <c r="C44" s="1" t="s">
        <v>212</v>
      </c>
      <c r="D44" s="2">
        <v>62000311121</v>
      </c>
      <c r="E44" s="2">
        <v>62000311121</v>
      </c>
      <c r="F44" s="1" t="s">
        <v>441</v>
      </c>
      <c r="G44" s="1" t="s">
        <v>414</v>
      </c>
      <c r="H44" s="1" t="s">
        <v>214</v>
      </c>
      <c r="I44" s="1" t="s">
        <v>32</v>
      </c>
      <c r="J44" s="1" t="s">
        <v>34</v>
      </c>
      <c r="K44" s="1" t="s">
        <v>20</v>
      </c>
      <c r="L44" s="1">
        <v>805</v>
      </c>
      <c r="M44" s="1" t="s">
        <v>33</v>
      </c>
    </row>
    <row r="45" spans="1:13" x14ac:dyDescent="0.25">
      <c r="A45" s="1" t="s">
        <v>226</v>
      </c>
      <c r="B45" s="2" t="s">
        <v>176</v>
      </c>
      <c r="C45" s="1" t="s">
        <v>212</v>
      </c>
      <c r="D45" s="2">
        <v>62000311121</v>
      </c>
      <c r="E45" s="2">
        <v>62000311121</v>
      </c>
      <c r="F45" s="1" t="s">
        <v>445</v>
      </c>
      <c r="G45" s="1" t="s">
        <v>414</v>
      </c>
      <c r="H45" s="1" t="s">
        <v>214</v>
      </c>
      <c r="I45" s="1" t="s">
        <v>32</v>
      </c>
      <c r="J45" s="1" t="s">
        <v>34</v>
      </c>
      <c r="K45" s="1" t="s">
        <v>20</v>
      </c>
      <c r="L45" s="1">
        <v>805</v>
      </c>
      <c r="M45" s="1" t="s">
        <v>33</v>
      </c>
    </row>
    <row r="46" spans="1:13" x14ac:dyDescent="0.25">
      <c r="A46" s="1" t="s">
        <v>201</v>
      </c>
      <c r="B46" s="1" t="s">
        <v>176</v>
      </c>
      <c r="C46" s="1" t="s">
        <v>202</v>
      </c>
      <c r="D46" s="2">
        <v>691219610003</v>
      </c>
      <c r="E46" s="2">
        <v>691219610003</v>
      </c>
      <c r="F46" s="1" t="s">
        <v>431</v>
      </c>
      <c r="G46" s="1" t="s">
        <v>414</v>
      </c>
      <c r="H46" s="3" t="s">
        <v>430</v>
      </c>
      <c r="I46" s="1" t="s">
        <v>19</v>
      </c>
      <c r="J46" s="1" t="s">
        <v>59</v>
      </c>
      <c r="K46" s="1" t="s">
        <v>20</v>
      </c>
      <c r="L46" s="1">
        <v>1210</v>
      </c>
      <c r="M46" s="1" t="s">
        <v>58</v>
      </c>
    </row>
    <row r="47" spans="1:13" x14ac:dyDescent="0.25">
      <c r="A47" s="1" t="s">
        <v>199</v>
      </c>
      <c r="B47" s="1" t="s">
        <v>176</v>
      </c>
      <c r="C47" s="1" t="s">
        <v>200</v>
      </c>
      <c r="D47" s="2">
        <v>691219610002</v>
      </c>
      <c r="E47" s="2">
        <v>691219610002</v>
      </c>
      <c r="F47" s="1" t="s">
        <v>432</v>
      </c>
      <c r="G47" s="1" t="s">
        <v>414</v>
      </c>
      <c r="H47" s="3" t="s">
        <v>430</v>
      </c>
      <c r="I47" s="1" t="s">
        <v>32</v>
      </c>
      <c r="J47" s="1" t="s">
        <v>34</v>
      </c>
      <c r="K47" s="1" t="s">
        <v>20</v>
      </c>
      <c r="L47" s="1">
        <v>805</v>
      </c>
      <c r="M47" s="1" t="s">
        <v>33</v>
      </c>
    </row>
    <row r="48" spans="1:13" x14ac:dyDescent="0.25">
      <c r="A48" s="1" t="s">
        <v>350</v>
      </c>
      <c r="B48" s="1" t="s">
        <v>351</v>
      </c>
      <c r="C48" s="1" t="s">
        <v>352</v>
      </c>
      <c r="D48" s="2">
        <v>560112120002</v>
      </c>
      <c r="E48" s="1" t="s">
        <v>264</v>
      </c>
      <c r="F48" s="1" t="s">
        <v>258</v>
      </c>
      <c r="G48" s="1" t="s">
        <v>414</v>
      </c>
      <c r="H48" s="1" t="s">
        <v>353</v>
      </c>
      <c r="I48" s="1" t="s">
        <v>32</v>
      </c>
      <c r="J48" s="1" t="s">
        <v>34</v>
      </c>
      <c r="K48" s="1" t="s">
        <v>20</v>
      </c>
      <c r="L48" s="1">
        <v>805</v>
      </c>
      <c r="M48" s="1" t="s">
        <v>33</v>
      </c>
    </row>
    <row r="49" spans="1:13" x14ac:dyDescent="0.25">
      <c r="A49" s="1" t="s">
        <v>53</v>
      </c>
      <c r="B49" s="1" t="s">
        <v>54</v>
      </c>
      <c r="C49" s="1" t="s">
        <v>55</v>
      </c>
      <c r="D49" s="2">
        <v>885012209069</v>
      </c>
      <c r="E49" s="1" t="s">
        <v>56</v>
      </c>
      <c r="F49" s="1" t="s">
        <v>25</v>
      </c>
      <c r="G49" s="1" t="s">
        <v>414</v>
      </c>
      <c r="H49" s="1" t="s">
        <v>57</v>
      </c>
      <c r="I49" s="1" t="s">
        <v>32</v>
      </c>
      <c r="J49" s="1" t="s">
        <v>34</v>
      </c>
      <c r="K49" s="1" t="s">
        <v>20</v>
      </c>
      <c r="L49" s="1">
        <v>805</v>
      </c>
      <c r="M49" s="1" t="s">
        <v>33</v>
      </c>
    </row>
    <row r="50" spans="1:13" x14ac:dyDescent="0.25">
      <c r="A50" s="1" t="s">
        <v>60</v>
      </c>
      <c r="B50" s="1" t="s">
        <v>54</v>
      </c>
      <c r="C50" s="1" t="s">
        <v>55</v>
      </c>
      <c r="D50" s="2">
        <v>885012209069</v>
      </c>
      <c r="E50" s="1" t="s">
        <v>56</v>
      </c>
      <c r="F50" s="1" t="s">
        <v>25</v>
      </c>
      <c r="G50" s="1" t="s">
        <v>414</v>
      </c>
      <c r="H50" s="1" t="s">
        <v>57</v>
      </c>
      <c r="I50" s="1" t="s">
        <v>19</v>
      </c>
      <c r="J50" s="1" t="s">
        <v>59</v>
      </c>
      <c r="K50" s="1" t="s">
        <v>20</v>
      </c>
      <c r="L50" s="1">
        <v>1210</v>
      </c>
      <c r="M50" s="1" t="s">
        <v>58</v>
      </c>
    </row>
    <row r="51" spans="1:13" x14ac:dyDescent="0.25">
      <c r="A51" s="1" t="s">
        <v>61</v>
      </c>
      <c r="B51" s="1" t="s">
        <v>54</v>
      </c>
      <c r="C51" s="1" t="s">
        <v>55</v>
      </c>
      <c r="D51" s="2">
        <v>885012209069</v>
      </c>
      <c r="E51" s="1" t="s">
        <v>56</v>
      </c>
      <c r="F51" s="1" t="s">
        <v>25</v>
      </c>
      <c r="G51" s="1" t="s">
        <v>414</v>
      </c>
      <c r="H51" s="1" t="s">
        <v>57</v>
      </c>
      <c r="I51" s="1" t="s">
        <v>32</v>
      </c>
      <c r="J51" s="1" t="s">
        <v>34</v>
      </c>
      <c r="K51" s="1" t="s">
        <v>20</v>
      </c>
      <c r="L51" s="1">
        <v>805</v>
      </c>
      <c r="M51" s="1" t="s">
        <v>33</v>
      </c>
    </row>
    <row r="52" spans="1:13" x14ac:dyDescent="0.25">
      <c r="A52" s="1" t="s">
        <v>62</v>
      </c>
      <c r="B52" s="1" t="s">
        <v>54</v>
      </c>
      <c r="C52" s="1" t="s">
        <v>55</v>
      </c>
      <c r="D52" s="2">
        <v>885012209069</v>
      </c>
      <c r="E52" s="1" t="s">
        <v>56</v>
      </c>
      <c r="F52" s="1" t="s">
        <v>25</v>
      </c>
      <c r="G52" s="1" t="s">
        <v>414</v>
      </c>
      <c r="H52" s="1" t="s">
        <v>57</v>
      </c>
      <c r="I52" s="1" t="s">
        <v>32</v>
      </c>
      <c r="J52" s="1" t="s">
        <v>34</v>
      </c>
      <c r="K52" s="1" t="s">
        <v>20</v>
      </c>
      <c r="L52" s="1">
        <v>805</v>
      </c>
      <c r="M52" s="1" t="s">
        <v>33</v>
      </c>
    </row>
    <row r="53" spans="1:13" x14ac:dyDescent="0.25">
      <c r="A53" s="1" t="s">
        <v>63</v>
      </c>
      <c r="B53" s="1" t="s">
        <v>54</v>
      </c>
      <c r="C53" s="1" t="s">
        <v>55</v>
      </c>
      <c r="D53" s="2">
        <v>885012209069</v>
      </c>
      <c r="E53" s="1" t="s">
        <v>56</v>
      </c>
      <c r="F53" s="1" t="s">
        <v>25</v>
      </c>
      <c r="G53" s="1" t="s">
        <v>414</v>
      </c>
      <c r="H53" s="1" t="s">
        <v>57</v>
      </c>
      <c r="I53" s="1" t="s">
        <v>32</v>
      </c>
      <c r="J53" s="1" t="s">
        <v>34</v>
      </c>
      <c r="K53" s="1" t="s">
        <v>20</v>
      </c>
      <c r="L53" s="1">
        <v>805</v>
      </c>
      <c r="M53" s="1" t="s">
        <v>33</v>
      </c>
    </row>
    <row r="54" spans="1:13" x14ac:dyDescent="0.25">
      <c r="A54" s="1" t="s">
        <v>64</v>
      </c>
      <c r="B54" s="1" t="s">
        <v>54</v>
      </c>
      <c r="C54" s="1" t="s">
        <v>55</v>
      </c>
      <c r="D54" s="2">
        <v>885012209069</v>
      </c>
      <c r="E54" s="1" t="s">
        <v>56</v>
      </c>
      <c r="F54" s="1" t="s">
        <v>25</v>
      </c>
      <c r="G54" s="1" t="s">
        <v>414</v>
      </c>
      <c r="H54" s="1" t="s">
        <v>57</v>
      </c>
      <c r="I54" s="1" t="s">
        <v>19</v>
      </c>
      <c r="J54" s="1" t="s">
        <v>59</v>
      </c>
      <c r="K54" s="1" t="s">
        <v>20</v>
      </c>
      <c r="L54" s="1">
        <v>1210</v>
      </c>
      <c r="M54" s="1" t="s">
        <v>58</v>
      </c>
    </row>
    <row r="55" spans="1:13" x14ac:dyDescent="0.25">
      <c r="A55" s="1" t="s">
        <v>87</v>
      </c>
      <c r="B55" s="1" t="s">
        <v>54</v>
      </c>
      <c r="C55" s="1" t="s">
        <v>55</v>
      </c>
      <c r="D55" s="2">
        <v>885012209069</v>
      </c>
      <c r="E55" s="1" t="s">
        <v>56</v>
      </c>
      <c r="F55" s="1" t="s">
        <v>25</v>
      </c>
      <c r="G55" s="1" t="s">
        <v>414</v>
      </c>
      <c r="H55" s="1" t="s">
        <v>57</v>
      </c>
      <c r="I55" s="1" t="s">
        <v>32</v>
      </c>
      <c r="J55" s="1" t="s">
        <v>34</v>
      </c>
      <c r="K55" s="1" t="s">
        <v>20</v>
      </c>
      <c r="L55" s="1">
        <v>805</v>
      </c>
      <c r="M55" s="1" t="s">
        <v>33</v>
      </c>
    </row>
    <row r="56" spans="1:13" x14ac:dyDescent="0.25">
      <c r="A56" s="1" t="s">
        <v>108</v>
      </c>
      <c r="B56" s="1" t="s">
        <v>54</v>
      </c>
      <c r="C56" s="1" t="s">
        <v>55</v>
      </c>
      <c r="D56" s="2">
        <v>885012209069</v>
      </c>
      <c r="E56" s="1" t="s">
        <v>56</v>
      </c>
      <c r="F56" s="1" t="s">
        <v>25</v>
      </c>
      <c r="G56" s="1" t="s">
        <v>414</v>
      </c>
      <c r="H56" s="1" t="s">
        <v>57</v>
      </c>
      <c r="I56" s="1" t="s">
        <v>32</v>
      </c>
      <c r="J56" s="1" t="s">
        <v>34</v>
      </c>
      <c r="K56" s="1" t="s">
        <v>20</v>
      </c>
      <c r="L56" s="1">
        <v>805</v>
      </c>
      <c r="M56" s="1" t="s">
        <v>33</v>
      </c>
    </row>
    <row r="57" spans="1:13" x14ac:dyDescent="0.25">
      <c r="A57" s="1" t="s">
        <v>122</v>
      </c>
      <c r="B57" s="1" t="s">
        <v>54</v>
      </c>
      <c r="C57" s="1" t="s">
        <v>55</v>
      </c>
      <c r="D57" s="2">
        <v>885012209069</v>
      </c>
      <c r="E57" s="1" t="s">
        <v>56</v>
      </c>
      <c r="F57" s="1" t="s">
        <v>25</v>
      </c>
      <c r="G57" s="1" t="s">
        <v>414</v>
      </c>
      <c r="H57" s="1" t="s">
        <v>57</v>
      </c>
      <c r="I57" s="1" t="s">
        <v>32</v>
      </c>
      <c r="J57" s="1" t="s">
        <v>34</v>
      </c>
      <c r="K57" s="1" t="s">
        <v>20</v>
      </c>
      <c r="L57" s="1">
        <v>805</v>
      </c>
      <c r="M57" s="1" t="s">
        <v>33</v>
      </c>
    </row>
    <row r="58" spans="1:13" x14ac:dyDescent="0.25">
      <c r="A58" s="1" t="s">
        <v>126</v>
      </c>
      <c r="B58" s="1" t="s">
        <v>54</v>
      </c>
      <c r="C58" s="1" t="s">
        <v>55</v>
      </c>
      <c r="D58" s="2">
        <v>885012209069</v>
      </c>
      <c r="E58" s="1" t="s">
        <v>56</v>
      </c>
      <c r="F58" s="1" t="s">
        <v>25</v>
      </c>
      <c r="G58" s="1" t="s">
        <v>414</v>
      </c>
      <c r="H58" s="1" t="s">
        <v>57</v>
      </c>
      <c r="I58" s="1" t="s">
        <v>32</v>
      </c>
      <c r="J58" s="1" t="s">
        <v>34</v>
      </c>
      <c r="K58" s="1" t="s">
        <v>20</v>
      </c>
      <c r="L58" s="1">
        <v>805</v>
      </c>
      <c r="M58" s="1" t="s">
        <v>33</v>
      </c>
    </row>
    <row r="59" spans="1:13" x14ac:dyDescent="0.25">
      <c r="A59" s="1" t="s">
        <v>130</v>
      </c>
      <c r="B59" s="1" t="s">
        <v>54</v>
      </c>
      <c r="C59" s="1" t="s">
        <v>55</v>
      </c>
      <c r="D59" s="2">
        <v>885012209069</v>
      </c>
      <c r="E59" s="1" t="s">
        <v>56</v>
      </c>
      <c r="F59" s="1" t="s">
        <v>25</v>
      </c>
      <c r="G59" s="1" t="s">
        <v>414</v>
      </c>
      <c r="H59" s="1" t="s">
        <v>57</v>
      </c>
      <c r="I59" s="1" t="s">
        <v>32</v>
      </c>
      <c r="J59" s="1" t="s">
        <v>34</v>
      </c>
      <c r="K59" s="1" t="s">
        <v>20</v>
      </c>
      <c r="L59" s="1">
        <v>805</v>
      </c>
      <c r="M59" s="1" t="s">
        <v>33</v>
      </c>
    </row>
    <row r="60" spans="1:13" x14ac:dyDescent="0.25">
      <c r="A60" s="1" t="s">
        <v>101</v>
      </c>
      <c r="B60" s="1" t="s">
        <v>102</v>
      </c>
      <c r="C60" s="1" t="s">
        <v>103</v>
      </c>
      <c r="D60" s="2">
        <v>885012007063</v>
      </c>
      <c r="E60" s="1" t="s">
        <v>104</v>
      </c>
      <c r="F60" s="1" t="s">
        <v>16</v>
      </c>
      <c r="G60" s="1" t="s">
        <v>414</v>
      </c>
      <c r="H60" s="1" t="s">
        <v>105</v>
      </c>
      <c r="I60" s="1" t="s">
        <v>70</v>
      </c>
    </row>
    <row r="61" spans="1:13" x14ac:dyDescent="0.25">
      <c r="A61" s="1" t="s">
        <v>106</v>
      </c>
      <c r="B61" s="1" t="s">
        <v>102</v>
      </c>
      <c r="C61" s="1" t="s">
        <v>103</v>
      </c>
      <c r="D61" s="2">
        <v>885012007063</v>
      </c>
      <c r="E61" s="1" t="s">
        <v>104</v>
      </c>
      <c r="F61" s="1" t="s">
        <v>16</v>
      </c>
      <c r="G61" s="1" t="s">
        <v>414</v>
      </c>
      <c r="H61" s="1" t="s">
        <v>105</v>
      </c>
      <c r="I61" s="1" t="s">
        <v>50</v>
      </c>
    </row>
    <row r="62" spans="1:13" x14ac:dyDescent="0.25">
      <c r="A62" s="1" t="s">
        <v>107</v>
      </c>
      <c r="B62" s="1" t="s">
        <v>102</v>
      </c>
      <c r="C62" s="1" t="s">
        <v>103</v>
      </c>
      <c r="D62" s="2">
        <v>885012007063</v>
      </c>
      <c r="E62" s="1" t="s">
        <v>104</v>
      </c>
      <c r="F62" s="1" t="s">
        <v>16</v>
      </c>
      <c r="G62" s="1" t="s">
        <v>414</v>
      </c>
      <c r="H62" s="1" t="s">
        <v>105</v>
      </c>
      <c r="I62" s="1" t="s">
        <v>50</v>
      </c>
    </row>
    <row r="63" spans="1:13" x14ac:dyDescent="0.25">
      <c r="A63" s="1" t="s">
        <v>119</v>
      </c>
      <c r="B63" s="1" t="s">
        <v>102</v>
      </c>
      <c r="C63" s="1" t="s">
        <v>103</v>
      </c>
      <c r="D63" s="2">
        <v>885012007063</v>
      </c>
      <c r="E63" s="1" t="s">
        <v>104</v>
      </c>
      <c r="F63" s="1" t="s">
        <v>16</v>
      </c>
      <c r="G63" s="1" t="s">
        <v>414</v>
      </c>
      <c r="H63" s="1" t="s">
        <v>105</v>
      </c>
      <c r="I63" s="1" t="s">
        <v>50</v>
      </c>
    </row>
    <row r="64" spans="1:13" x14ac:dyDescent="0.25">
      <c r="A64" s="1" t="s">
        <v>120</v>
      </c>
      <c r="B64" s="1" t="s">
        <v>102</v>
      </c>
      <c r="C64" s="1" t="s">
        <v>103</v>
      </c>
      <c r="D64" s="2">
        <v>885012007063</v>
      </c>
      <c r="E64" s="1" t="s">
        <v>104</v>
      </c>
      <c r="F64" s="1" t="s">
        <v>16</v>
      </c>
      <c r="G64" s="1" t="s">
        <v>414</v>
      </c>
      <c r="H64" s="1" t="s">
        <v>105</v>
      </c>
      <c r="I64" s="1" t="s">
        <v>50</v>
      </c>
    </row>
    <row r="65" spans="1:13" x14ac:dyDescent="0.25">
      <c r="A65" s="1" t="s">
        <v>121</v>
      </c>
      <c r="B65" s="1" t="s">
        <v>102</v>
      </c>
      <c r="C65" s="1" t="s">
        <v>103</v>
      </c>
      <c r="D65" s="2">
        <v>885012007063</v>
      </c>
      <c r="E65" s="1" t="s">
        <v>104</v>
      </c>
      <c r="F65" s="1" t="s">
        <v>16</v>
      </c>
      <c r="G65" s="1" t="s">
        <v>414</v>
      </c>
      <c r="H65" s="1" t="s">
        <v>105</v>
      </c>
      <c r="I65" s="1" t="s">
        <v>50</v>
      </c>
    </row>
    <row r="66" spans="1:13" x14ac:dyDescent="0.25">
      <c r="A66" s="1" t="s">
        <v>123</v>
      </c>
      <c r="B66" s="1" t="s">
        <v>102</v>
      </c>
      <c r="C66" s="1" t="s">
        <v>103</v>
      </c>
      <c r="D66" s="2">
        <v>885012007063</v>
      </c>
      <c r="E66" s="1" t="s">
        <v>104</v>
      </c>
      <c r="F66" s="1" t="s">
        <v>16</v>
      </c>
      <c r="G66" s="1" t="s">
        <v>414</v>
      </c>
      <c r="H66" s="1" t="s">
        <v>105</v>
      </c>
      <c r="I66" s="1" t="s">
        <v>50</v>
      </c>
    </row>
    <row r="67" spans="1:13" x14ac:dyDescent="0.25">
      <c r="A67" s="1" t="s">
        <v>124</v>
      </c>
      <c r="B67" s="1" t="s">
        <v>102</v>
      </c>
      <c r="C67" s="1" t="s">
        <v>103</v>
      </c>
      <c r="D67" s="2">
        <v>885012007063</v>
      </c>
      <c r="E67" s="1" t="s">
        <v>104</v>
      </c>
      <c r="F67" s="1" t="s">
        <v>16</v>
      </c>
      <c r="G67" s="1" t="s">
        <v>414</v>
      </c>
      <c r="H67" s="1" t="s">
        <v>105</v>
      </c>
      <c r="I67" s="1" t="s">
        <v>32</v>
      </c>
      <c r="J67" s="1" t="s">
        <v>34</v>
      </c>
      <c r="K67" s="1" t="s">
        <v>20</v>
      </c>
      <c r="L67" s="1">
        <v>805</v>
      </c>
      <c r="M67" s="1" t="s">
        <v>33</v>
      </c>
    </row>
    <row r="68" spans="1:13" x14ac:dyDescent="0.25">
      <c r="A68" s="1" t="s">
        <v>125</v>
      </c>
      <c r="B68" s="1" t="s">
        <v>102</v>
      </c>
      <c r="C68" s="1" t="s">
        <v>103</v>
      </c>
      <c r="D68" s="2">
        <v>885012007063</v>
      </c>
      <c r="E68" s="1" t="s">
        <v>104</v>
      </c>
      <c r="F68" s="1" t="s">
        <v>16</v>
      </c>
      <c r="G68" s="1" t="s">
        <v>414</v>
      </c>
      <c r="H68" s="1" t="s">
        <v>105</v>
      </c>
      <c r="I68" s="1" t="s">
        <v>32</v>
      </c>
      <c r="J68" s="1" t="s">
        <v>34</v>
      </c>
      <c r="K68" s="1" t="s">
        <v>20</v>
      </c>
      <c r="L68" s="1">
        <v>805</v>
      </c>
      <c r="M68" s="1" t="s">
        <v>33</v>
      </c>
    </row>
    <row r="69" spans="1:13" x14ac:dyDescent="0.25">
      <c r="A69" s="1" t="s">
        <v>127</v>
      </c>
      <c r="B69" s="1" t="s">
        <v>102</v>
      </c>
      <c r="C69" s="1" t="s">
        <v>103</v>
      </c>
      <c r="D69" s="2">
        <v>885012007063</v>
      </c>
      <c r="E69" s="1" t="s">
        <v>104</v>
      </c>
      <c r="F69" s="1" t="s">
        <v>16</v>
      </c>
      <c r="G69" s="1" t="s">
        <v>414</v>
      </c>
      <c r="H69" s="1" t="s">
        <v>105</v>
      </c>
      <c r="I69" s="1" t="s">
        <v>32</v>
      </c>
      <c r="J69" s="1" t="s">
        <v>34</v>
      </c>
      <c r="K69" s="1" t="s">
        <v>20</v>
      </c>
      <c r="L69" s="1">
        <v>805</v>
      </c>
      <c r="M69" s="1" t="s">
        <v>33</v>
      </c>
    </row>
    <row r="70" spans="1:13" x14ac:dyDescent="0.25">
      <c r="A70" s="1" t="s">
        <v>128</v>
      </c>
      <c r="B70" s="1" t="s">
        <v>102</v>
      </c>
      <c r="C70" s="1" t="s">
        <v>103</v>
      </c>
      <c r="D70" s="2">
        <v>885012007063</v>
      </c>
      <c r="E70" s="1" t="s">
        <v>104</v>
      </c>
      <c r="F70" s="1" t="s">
        <v>16</v>
      </c>
      <c r="G70" s="1" t="s">
        <v>414</v>
      </c>
      <c r="H70" s="1" t="s">
        <v>105</v>
      </c>
      <c r="I70" s="1" t="s">
        <v>32</v>
      </c>
      <c r="J70" s="1" t="s">
        <v>34</v>
      </c>
      <c r="K70" s="1" t="s">
        <v>20</v>
      </c>
      <c r="L70" s="1">
        <v>805</v>
      </c>
      <c r="M70" s="1" t="s">
        <v>33</v>
      </c>
    </row>
    <row r="71" spans="1:13" x14ac:dyDescent="0.25">
      <c r="A71" s="1" t="s">
        <v>129</v>
      </c>
      <c r="B71" s="1" t="s">
        <v>102</v>
      </c>
      <c r="C71" s="1" t="s">
        <v>103</v>
      </c>
      <c r="D71" s="2">
        <v>885012007063</v>
      </c>
      <c r="E71" s="1" t="s">
        <v>104</v>
      </c>
      <c r="F71" s="1" t="s">
        <v>16</v>
      </c>
      <c r="G71" s="1" t="s">
        <v>414</v>
      </c>
      <c r="H71" s="1" t="s">
        <v>105</v>
      </c>
      <c r="I71" s="1" t="s">
        <v>32</v>
      </c>
      <c r="J71" s="1" t="s">
        <v>34</v>
      </c>
      <c r="K71" s="1" t="s">
        <v>20</v>
      </c>
      <c r="L71" s="1">
        <v>805</v>
      </c>
      <c r="M71" s="1" t="s">
        <v>33</v>
      </c>
    </row>
    <row r="72" spans="1:13" x14ac:dyDescent="0.25">
      <c r="A72" s="1" t="s">
        <v>275</v>
      </c>
      <c r="B72" s="1" t="s">
        <v>276</v>
      </c>
      <c r="C72" s="1" t="s">
        <v>277</v>
      </c>
      <c r="D72" s="2">
        <v>560112120028</v>
      </c>
      <c r="E72" s="1" t="s">
        <v>264</v>
      </c>
      <c r="F72" s="1" t="s">
        <v>258</v>
      </c>
      <c r="G72" s="1" t="s">
        <v>414</v>
      </c>
      <c r="H72" s="1" t="s">
        <v>278</v>
      </c>
      <c r="I72" s="1" t="s">
        <v>32</v>
      </c>
      <c r="J72" s="1" t="s">
        <v>34</v>
      </c>
      <c r="K72" s="1" t="s">
        <v>20</v>
      </c>
      <c r="L72" s="1">
        <v>805</v>
      </c>
      <c r="M72" s="1" t="s">
        <v>33</v>
      </c>
    </row>
    <row r="73" spans="1:13" x14ac:dyDescent="0.25">
      <c r="A73" s="1" t="s">
        <v>301</v>
      </c>
      <c r="B73" s="1" t="s">
        <v>276</v>
      </c>
      <c r="C73" s="1" t="s">
        <v>277</v>
      </c>
      <c r="D73" s="2">
        <v>560112120028</v>
      </c>
      <c r="E73" s="1" t="s">
        <v>264</v>
      </c>
      <c r="F73" s="1" t="s">
        <v>258</v>
      </c>
      <c r="G73" s="1" t="s">
        <v>414</v>
      </c>
      <c r="H73" s="1" t="s">
        <v>278</v>
      </c>
      <c r="I73" s="1" t="s">
        <v>32</v>
      </c>
      <c r="J73" s="1" t="s">
        <v>34</v>
      </c>
      <c r="K73" s="1" t="s">
        <v>20</v>
      </c>
      <c r="L73" s="1">
        <v>805</v>
      </c>
      <c r="M73" s="1" t="s">
        <v>33</v>
      </c>
    </row>
    <row r="74" spans="1:13" x14ac:dyDescent="0.25">
      <c r="A74" s="1" t="s">
        <v>320</v>
      </c>
      <c r="B74" s="1" t="s">
        <v>276</v>
      </c>
      <c r="C74" s="1" t="s">
        <v>277</v>
      </c>
      <c r="D74" s="2">
        <v>560112120028</v>
      </c>
      <c r="E74" s="1" t="s">
        <v>264</v>
      </c>
      <c r="F74" s="1" t="s">
        <v>258</v>
      </c>
      <c r="G74" s="1" t="s">
        <v>414</v>
      </c>
      <c r="H74" s="1" t="s">
        <v>278</v>
      </c>
      <c r="I74" s="1" t="s">
        <v>32</v>
      </c>
      <c r="J74" s="1" t="s">
        <v>34</v>
      </c>
      <c r="K74" s="1" t="s">
        <v>20</v>
      </c>
      <c r="L74" s="1">
        <v>805</v>
      </c>
      <c r="M74" s="1" t="s">
        <v>33</v>
      </c>
    </row>
    <row r="75" spans="1:13" x14ac:dyDescent="0.25">
      <c r="A75" s="1" t="s">
        <v>12</v>
      </c>
      <c r="B75" s="1" t="s">
        <v>13</v>
      </c>
      <c r="C75" s="1" t="s">
        <v>14</v>
      </c>
      <c r="D75" s="2">
        <v>885012108022</v>
      </c>
      <c r="E75" s="1" t="s">
        <v>15</v>
      </c>
      <c r="F75" s="1" t="s">
        <v>16</v>
      </c>
      <c r="G75" s="1" t="s">
        <v>414</v>
      </c>
      <c r="H75" s="1" t="s">
        <v>17</v>
      </c>
      <c r="I75" s="1" t="s">
        <v>32</v>
      </c>
      <c r="J75" s="1" t="s">
        <v>34</v>
      </c>
      <c r="K75" s="1" t="s">
        <v>20</v>
      </c>
      <c r="L75" s="1">
        <v>805</v>
      </c>
      <c r="M75" s="1" t="s">
        <v>33</v>
      </c>
    </row>
    <row r="76" spans="1:13" x14ac:dyDescent="0.25">
      <c r="A76" s="1" t="s">
        <v>39</v>
      </c>
      <c r="B76" s="1" t="s">
        <v>13</v>
      </c>
      <c r="C76" s="1" t="s">
        <v>14</v>
      </c>
      <c r="D76" s="2">
        <v>885012108022</v>
      </c>
      <c r="E76" s="1" t="s">
        <v>15</v>
      </c>
      <c r="F76" s="1" t="s">
        <v>16</v>
      </c>
      <c r="G76" s="1" t="s">
        <v>414</v>
      </c>
      <c r="H76" s="1" t="s">
        <v>17</v>
      </c>
      <c r="I76" s="1" t="s">
        <v>32</v>
      </c>
      <c r="J76" s="1" t="s">
        <v>34</v>
      </c>
      <c r="K76" s="1" t="s">
        <v>20</v>
      </c>
      <c r="L76" s="1">
        <v>805</v>
      </c>
      <c r="M76" s="1" t="s">
        <v>33</v>
      </c>
    </row>
    <row r="77" spans="1:13" x14ac:dyDescent="0.25">
      <c r="A77" s="1" t="s">
        <v>43</v>
      </c>
      <c r="B77" s="1" t="s">
        <v>13</v>
      </c>
      <c r="C77" s="1" t="s">
        <v>14</v>
      </c>
      <c r="D77" s="2">
        <v>885012108022</v>
      </c>
      <c r="E77" s="1" t="s">
        <v>15</v>
      </c>
      <c r="F77" s="1" t="s">
        <v>16</v>
      </c>
      <c r="G77" s="1" t="s">
        <v>414</v>
      </c>
      <c r="H77" s="1" t="s">
        <v>17</v>
      </c>
      <c r="I77" s="1" t="s">
        <v>19</v>
      </c>
      <c r="J77" s="1" t="s">
        <v>18</v>
      </c>
      <c r="K77" s="1" t="s">
        <v>20</v>
      </c>
      <c r="L77" s="1">
        <v>1206</v>
      </c>
      <c r="M77" s="1" t="s">
        <v>21</v>
      </c>
    </row>
    <row r="78" spans="1:13" x14ac:dyDescent="0.25">
      <c r="A78" s="1" t="s">
        <v>331</v>
      </c>
      <c r="B78" s="1" t="s">
        <v>332</v>
      </c>
      <c r="C78" s="1" t="s">
        <v>333</v>
      </c>
      <c r="D78" s="2">
        <v>560112120004</v>
      </c>
      <c r="E78" s="1" t="s">
        <v>264</v>
      </c>
      <c r="F78" s="1" t="s">
        <v>258</v>
      </c>
      <c r="G78" s="1" t="s">
        <v>414</v>
      </c>
      <c r="H78" s="1" t="s">
        <v>334</v>
      </c>
      <c r="I78" s="1" t="s">
        <v>32</v>
      </c>
      <c r="J78" s="1" t="s">
        <v>34</v>
      </c>
      <c r="K78" s="1" t="s">
        <v>20</v>
      </c>
      <c r="L78" s="1">
        <v>805</v>
      </c>
      <c r="M78" s="1" t="s">
        <v>33</v>
      </c>
    </row>
    <row r="79" spans="1:13" x14ac:dyDescent="0.25">
      <c r="A79" s="1" t="s">
        <v>336</v>
      </c>
      <c r="B79" s="1" t="s">
        <v>332</v>
      </c>
      <c r="C79" s="1" t="s">
        <v>333</v>
      </c>
      <c r="D79" s="2">
        <v>560112120004</v>
      </c>
      <c r="E79" s="1" t="s">
        <v>264</v>
      </c>
      <c r="F79" s="1" t="s">
        <v>258</v>
      </c>
      <c r="G79" s="1" t="s">
        <v>414</v>
      </c>
      <c r="H79" s="1" t="s">
        <v>334</v>
      </c>
      <c r="I79" s="1" t="s">
        <v>32</v>
      </c>
      <c r="J79" s="1" t="s">
        <v>34</v>
      </c>
      <c r="K79" s="1" t="s">
        <v>20</v>
      </c>
      <c r="L79" s="1">
        <v>805</v>
      </c>
      <c r="M79" s="1" t="s">
        <v>33</v>
      </c>
    </row>
    <row r="80" spans="1:13" x14ac:dyDescent="0.25">
      <c r="A80" s="1" t="s">
        <v>338</v>
      </c>
      <c r="B80" s="1" t="s">
        <v>332</v>
      </c>
      <c r="C80" s="1" t="s">
        <v>333</v>
      </c>
      <c r="D80" s="2">
        <v>560112120004</v>
      </c>
      <c r="E80" s="1" t="s">
        <v>264</v>
      </c>
      <c r="F80" s="1" t="s">
        <v>258</v>
      </c>
      <c r="G80" s="1" t="s">
        <v>414</v>
      </c>
      <c r="H80" s="1" t="s">
        <v>334</v>
      </c>
      <c r="I80" s="1" t="s">
        <v>32</v>
      </c>
      <c r="J80" s="1" t="s">
        <v>34</v>
      </c>
      <c r="K80" s="1" t="s">
        <v>20</v>
      </c>
      <c r="L80" s="1">
        <v>805</v>
      </c>
      <c r="M80" s="1" t="s">
        <v>33</v>
      </c>
    </row>
    <row r="81" spans="1:13" x14ac:dyDescent="0.25">
      <c r="A81" s="1" t="s">
        <v>340</v>
      </c>
      <c r="B81" s="1" t="s">
        <v>332</v>
      </c>
      <c r="C81" s="1" t="s">
        <v>333</v>
      </c>
      <c r="D81" s="2">
        <v>560112120004</v>
      </c>
      <c r="E81" s="1" t="s">
        <v>264</v>
      </c>
      <c r="F81" s="1" t="s">
        <v>258</v>
      </c>
      <c r="G81" s="1" t="s">
        <v>414</v>
      </c>
      <c r="H81" s="1" t="s">
        <v>334</v>
      </c>
      <c r="I81" s="1" t="s">
        <v>32</v>
      </c>
      <c r="J81" s="1" t="s">
        <v>34</v>
      </c>
      <c r="K81" s="1" t="s">
        <v>20</v>
      </c>
      <c r="L81" s="1">
        <v>805</v>
      </c>
      <c r="M81" s="1" t="s">
        <v>33</v>
      </c>
    </row>
    <row r="82" spans="1:13" x14ac:dyDescent="0.25">
      <c r="A82" s="1" t="s">
        <v>347</v>
      </c>
      <c r="B82" s="1" t="s">
        <v>332</v>
      </c>
      <c r="C82" s="1" t="s">
        <v>333</v>
      </c>
      <c r="D82" s="2">
        <v>560112120004</v>
      </c>
      <c r="F82" s="1" t="s">
        <v>258</v>
      </c>
      <c r="G82" s="1" t="s">
        <v>414</v>
      </c>
      <c r="H82" s="1" t="s">
        <v>334</v>
      </c>
      <c r="I82" s="1" t="s">
        <v>19</v>
      </c>
      <c r="J82" s="1" t="s">
        <v>18</v>
      </c>
      <c r="K82" s="1" t="s">
        <v>20</v>
      </c>
      <c r="L82" s="1">
        <v>1206</v>
      </c>
    </row>
    <row r="83" spans="1:13" x14ac:dyDescent="0.25">
      <c r="A83" s="1" t="s">
        <v>348</v>
      </c>
      <c r="B83" s="1" t="s">
        <v>332</v>
      </c>
      <c r="C83" s="1" t="s">
        <v>333</v>
      </c>
      <c r="D83" s="2">
        <v>560112120004</v>
      </c>
      <c r="E83" s="1" t="s">
        <v>264</v>
      </c>
      <c r="F83" s="1" t="s">
        <v>258</v>
      </c>
      <c r="G83" s="1" t="s">
        <v>414</v>
      </c>
      <c r="H83" s="1" t="s">
        <v>334</v>
      </c>
      <c r="I83" s="1" t="s">
        <v>19</v>
      </c>
      <c r="J83" s="1" t="s">
        <v>18</v>
      </c>
      <c r="K83" s="1" t="s">
        <v>20</v>
      </c>
      <c r="L83" s="1">
        <v>1206</v>
      </c>
    </row>
    <row r="84" spans="1:13" x14ac:dyDescent="0.25">
      <c r="A84" s="1" t="s">
        <v>357</v>
      </c>
      <c r="B84" s="1" t="s">
        <v>332</v>
      </c>
      <c r="C84" s="1" t="s">
        <v>333</v>
      </c>
      <c r="D84" s="2">
        <v>560112120004</v>
      </c>
      <c r="E84" s="1" t="s">
        <v>264</v>
      </c>
      <c r="F84" s="1" t="s">
        <v>258</v>
      </c>
      <c r="G84" s="1" t="s">
        <v>414</v>
      </c>
      <c r="H84" s="1" t="s">
        <v>334</v>
      </c>
      <c r="I84" s="1" t="s">
        <v>19</v>
      </c>
      <c r="J84" s="1" t="s">
        <v>18</v>
      </c>
      <c r="K84" s="1" t="s">
        <v>20</v>
      </c>
      <c r="L84" s="1">
        <v>1206</v>
      </c>
    </row>
    <row r="85" spans="1:13" x14ac:dyDescent="0.25">
      <c r="A85" s="1" t="s">
        <v>360</v>
      </c>
      <c r="B85" s="1" t="s">
        <v>332</v>
      </c>
      <c r="C85" s="1" t="s">
        <v>333</v>
      </c>
      <c r="D85" s="2">
        <v>560112120004</v>
      </c>
      <c r="E85" s="1" t="s">
        <v>264</v>
      </c>
      <c r="F85" s="1" t="s">
        <v>258</v>
      </c>
      <c r="G85" s="1" t="s">
        <v>414</v>
      </c>
      <c r="H85" s="1" t="s">
        <v>334</v>
      </c>
    </row>
    <row r="86" spans="1:13" x14ac:dyDescent="0.25">
      <c r="A86" s="1" t="s">
        <v>302</v>
      </c>
      <c r="B86" s="1" t="s">
        <v>303</v>
      </c>
      <c r="C86" s="1" t="s">
        <v>304</v>
      </c>
      <c r="D86" s="2">
        <v>560112120001</v>
      </c>
      <c r="E86" s="1" t="s">
        <v>264</v>
      </c>
      <c r="F86" s="1" t="s">
        <v>258</v>
      </c>
      <c r="G86" s="1" t="s">
        <v>414</v>
      </c>
      <c r="H86" s="1" t="s">
        <v>305</v>
      </c>
    </row>
    <row r="87" spans="1:13" x14ac:dyDescent="0.25">
      <c r="A87" s="1" t="s">
        <v>306</v>
      </c>
      <c r="B87" s="1" t="s">
        <v>303</v>
      </c>
      <c r="C87" s="1" t="s">
        <v>304</v>
      </c>
      <c r="D87" s="2">
        <v>560112120001</v>
      </c>
      <c r="E87" s="1" t="s">
        <v>264</v>
      </c>
      <c r="F87" s="1" t="s">
        <v>258</v>
      </c>
      <c r="G87" s="1" t="s">
        <v>414</v>
      </c>
      <c r="H87" s="1" t="s">
        <v>305</v>
      </c>
    </row>
    <row r="88" spans="1:13" x14ac:dyDescent="0.25">
      <c r="A88" s="1" t="s">
        <v>311</v>
      </c>
      <c r="B88" s="1" t="s">
        <v>303</v>
      </c>
      <c r="C88" s="1" t="s">
        <v>304</v>
      </c>
      <c r="D88" s="2">
        <v>560112120001</v>
      </c>
      <c r="E88" s="1" t="s">
        <v>264</v>
      </c>
      <c r="F88" s="1" t="s">
        <v>258</v>
      </c>
      <c r="G88" s="1" t="s">
        <v>414</v>
      </c>
      <c r="H88" s="1" t="s">
        <v>305</v>
      </c>
    </row>
    <row r="89" spans="1:13" x14ac:dyDescent="0.25">
      <c r="A89" s="1" t="s">
        <v>312</v>
      </c>
      <c r="B89" s="1" t="s">
        <v>303</v>
      </c>
      <c r="C89" s="1" t="s">
        <v>304</v>
      </c>
      <c r="D89" s="2">
        <v>560112120001</v>
      </c>
      <c r="E89" s="1" t="s">
        <v>264</v>
      </c>
      <c r="F89" s="1" t="s">
        <v>258</v>
      </c>
      <c r="G89" s="1" t="s">
        <v>414</v>
      </c>
      <c r="H89" s="1" t="s">
        <v>305</v>
      </c>
      <c r="I89" s="1" t="s">
        <v>19</v>
      </c>
      <c r="J89" s="1" t="s">
        <v>18</v>
      </c>
      <c r="K89" s="1" t="s">
        <v>20</v>
      </c>
      <c r="L89" s="1">
        <v>1206</v>
      </c>
    </row>
    <row r="90" spans="1:13" x14ac:dyDescent="0.25">
      <c r="A90" s="1" t="s">
        <v>321</v>
      </c>
      <c r="B90" s="1" t="s">
        <v>303</v>
      </c>
      <c r="C90" s="1" t="s">
        <v>304</v>
      </c>
      <c r="D90" s="2">
        <v>560112120001</v>
      </c>
      <c r="E90" s="1" t="s">
        <v>264</v>
      </c>
      <c r="F90" s="1" t="s">
        <v>258</v>
      </c>
      <c r="G90" s="1" t="s">
        <v>414</v>
      </c>
      <c r="H90" s="1" t="s">
        <v>305</v>
      </c>
    </row>
    <row r="91" spans="1:13" x14ac:dyDescent="0.25">
      <c r="A91" s="1" t="s">
        <v>322</v>
      </c>
      <c r="B91" s="1" t="s">
        <v>303</v>
      </c>
      <c r="C91" s="1" t="s">
        <v>304</v>
      </c>
      <c r="D91" s="2">
        <v>560112120001</v>
      </c>
      <c r="E91" s="1" t="s">
        <v>264</v>
      </c>
      <c r="F91" s="1" t="s">
        <v>258</v>
      </c>
      <c r="G91" s="1" t="s">
        <v>414</v>
      </c>
      <c r="H91" s="1" t="s">
        <v>305</v>
      </c>
    </row>
    <row r="92" spans="1:13" x14ac:dyDescent="0.25">
      <c r="A92" s="1" t="s">
        <v>323</v>
      </c>
      <c r="B92" s="1" t="s">
        <v>303</v>
      </c>
      <c r="C92" s="1" t="s">
        <v>304</v>
      </c>
      <c r="D92" s="2">
        <v>560112120001</v>
      </c>
      <c r="E92" s="1" t="s">
        <v>264</v>
      </c>
      <c r="F92" s="1" t="s">
        <v>258</v>
      </c>
      <c r="G92" s="1" t="s">
        <v>414</v>
      </c>
      <c r="H92" s="1" t="s">
        <v>305</v>
      </c>
    </row>
    <row r="93" spans="1:13" x14ac:dyDescent="0.25">
      <c r="A93" s="1" t="s">
        <v>324</v>
      </c>
      <c r="B93" s="1" t="s">
        <v>303</v>
      </c>
      <c r="C93" s="1" t="s">
        <v>304</v>
      </c>
      <c r="D93" s="2">
        <v>560112120001</v>
      </c>
      <c r="E93" s="1" t="s">
        <v>264</v>
      </c>
      <c r="F93" s="1" t="s">
        <v>258</v>
      </c>
      <c r="G93" s="1" t="s">
        <v>414</v>
      </c>
      <c r="H93" s="1" t="s">
        <v>305</v>
      </c>
    </row>
    <row r="94" spans="1:13" x14ac:dyDescent="0.25">
      <c r="A94" s="1" t="s">
        <v>325</v>
      </c>
      <c r="B94" s="1" t="s">
        <v>303</v>
      </c>
      <c r="C94" s="1" t="s">
        <v>304</v>
      </c>
      <c r="D94" s="2">
        <v>560112120001</v>
      </c>
      <c r="E94" s="1" t="s">
        <v>264</v>
      </c>
      <c r="F94" s="1" t="s">
        <v>258</v>
      </c>
      <c r="G94" s="1" t="s">
        <v>414</v>
      </c>
      <c r="H94" s="1" t="s">
        <v>305</v>
      </c>
    </row>
    <row r="95" spans="1:13" x14ac:dyDescent="0.25">
      <c r="A95" s="1" t="s">
        <v>326</v>
      </c>
      <c r="B95" s="1" t="s">
        <v>303</v>
      </c>
      <c r="C95" s="1" t="s">
        <v>304</v>
      </c>
      <c r="D95" s="2">
        <v>560112120001</v>
      </c>
      <c r="E95" s="1" t="s">
        <v>264</v>
      </c>
      <c r="F95" s="1" t="s">
        <v>258</v>
      </c>
      <c r="G95" s="1" t="s">
        <v>414</v>
      </c>
      <c r="H95" s="1" t="s">
        <v>305</v>
      </c>
    </row>
    <row r="96" spans="1:13" x14ac:dyDescent="0.25">
      <c r="A96" s="1" t="s">
        <v>342</v>
      </c>
      <c r="B96" s="1" t="s">
        <v>303</v>
      </c>
      <c r="C96" s="1" t="s">
        <v>304</v>
      </c>
      <c r="D96" s="2">
        <v>560112120001</v>
      </c>
      <c r="E96" s="1" t="s">
        <v>264</v>
      </c>
      <c r="F96" s="1" t="s">
        <v>258</v>
      </c>
      <c r="G96" s="1" t="s">
        <v>414</v>
      </c>
      <c r="H96" s="1" t="s">
        <v>305</v>
      </c>
    </row>
    <row r="97" spans="1:12" x14ac:dyDescent="0.25">
      <c r="A97" s="1" t="s">
        <v>65</v>
      </c>
      <c r="B97" s="1" t="s">
        <v>66</v>
      </c>
      <c r="C97" s="1" t="s">
        <v>67</v>
      </c>
      <c r="D97" s="2">
        <v>860040875005</v>
      </c>
      <c r="E97" s="1" t="s">
        <v>68</v>
      </c>
      <c r="F97" s="1" t="s">
        <v>48</v>
      </c>
      <c r="G97" s="1" t="s">
        <v>414</v>
      </c>
      <c r="H97" s="1" t="s">
        <v>69</v>
      </c>
      <c r="K97" s="1" t="s">
        <v>207</v>
      </c>
    </row>
    <row r="98" spans="1:12" x14ac:dyDescent="0.25">
      <c r="A98" s="1" t="s">
        <v>96</v>
      </c>
      <c r="B98" s="1" t="s">
        <v>66</v>
      </c>
      <c r="C98" s="1" t="s">
        <v>67</v>
      </c>
      <c r="D98" s="2">
        <v>860040875005</v>
      </c>
      <c r="E98" s="1" t="s">
        <v>68</v>
      </c>
      <c r="F98" s="1" t="s">
        <v>48</v>
      </c>
      <c r="G98" s="1" t="s">
        <v>414</v>
      </c>
      <c r="H98" s="1" t="s">
        <v>69</v>
      </c>
      <c r="K98" s="1" t="s">
        <v>207</v>
      </c>
    </row>
    <row r="99" spans="1:12" x14ac:dyDescent="0.25">
      <c r="A99" s="1" t="s">
        <v>138</v>
      </c>
      <c r="B99" s="1" t="s">
        <v>66</v>
      </c>
      <c r="C99" s="1" t="s">
        <v>67</v>
      </c>
      <c r="D99" s="2">
        <v>860040875005</v>
      </c>
      <c r="E99" s="1" t="s">
        <v>68</v>
      </c>
      <c r="F99" s="1" t="s">
        <v>48</v>
      </c>
      <c r="G99" s="1" t="s">
        <v>414</v>
      </c>
      <c r="H99" s="1" t="s">
        <v>69</v>
      </c>
      <c r="K99" s="1" t="s">
        <v>207</v>
      </c>
    </row>
    <row r="100" spans="1:12" x14ac:dyDescent="0.25">
      <c r="A100" s="1" t="s">
        <v>287</v>
      </c>
      <c r="B100" s="1" t="s">
        <v>288</v>
      </c>
      <c r="C100" s="1" t="s">
        <v>289</v>
      </c>
      <c r="D100" s="2">
        <v>560112120013</v>
      </c>
      <c r="E100" s="1" t="s">
        <v>264</v>
      </c>
      <c r="F100" s="1" t="s">
        <v>258</v>
      </c>
      <c r="G100" s="1" t="s">
        <v>414</v>
      </c>
      <c r="H100" s="1" t="s">
        <v>290</v>
      </c>
    </row>
    <row r="101" spans="1:12" x14ac:dyDescent="0.25">
      <c r="A101" s="1" t="s">
        <v>341</v>
      </c>
      <c r="B101" s="1" t="s">
        <v>288</v>
      </c>
      <c r="C101" s="1" t="s">
        <v>289</v>
      </c>
      <c r="D101" s="2">
        <v>560112120013</v>
      </c>
      <c r="E101" s="1" t="s">
        <v>264</v>
      </c>
      <c r="F101" s="1" t="s">
        <v>258</v>
      </c>
      <c r="G101" s="1" t="s">
        <v>414</v>
      </c>
      <c r="H101" s="1" t="s">
        <v>290</v>
      </c>
    </row>
    <row r="102" spans="1:12" x14ac:dyDescent="0.25">
      <c r="A102" s="1" t="s">
        <v>145</v>
      </c>
      <c r="B102" s="1" t="s">
        <v>146</v>
      </c>
      <c r="C102" s="1" t="s">
        <v>147</v>
      </c>
      <c r="D102" s="2">
        <v>885012207128</v>
      </c>
      <c r="E102" s="1" t="s">
        <v>81</v>
      </c>
      <c r="F102" s="1" t="s">
        <v>25</v>
      </c>
      <c r="G102" s="1" t="s">
        <v>414</v>
      </c>
      <c r="H102" s="1" t="s">
        <v>148</v>
      </c>
      <c r="K102" s="1" t="s">
        <v>207</v>
      </c>
    </row>
    <row r="103" spans="1:12" x14ac:dyDescent="0.25">
      <c r="A103" s="1" t="s">
        <v>149</v>
      </c>
      <c r="B103" s="1" t="s">
        <v>146</v>
      </c>
      <c r="C103" s="1" t="s">
        <v>147</v>
      </c>
      <c r="D103" s="2">
        <v>885012207128</v>
      </c>
      <c r="E103" s="1" t="s">
        <v>81</v>
      </c>
      <c r="F103" s="1" t="s">
        <v>25</v>
      </c>
      <c r="G103" s="1" t="s">
        <v>414</v>
      </c>
      <c r="H103" s="1" t="s">
        <v>148</v>
      </c>
      <c r="K103" s="1" t="s">
        <v>207</v>
      </c>
    </row>
    <row r="104" spans="1:12" x14ac:dyDescent="0.25">
      <c r="A104" s="1" t="s">
        <v>150</v>
      </c>
      <c r="B104" s="1" t="s">
        <v>146</v>
      </c>
      <c r="C104" s="1" t="s">
        <v>147</v>
      </c>
      <c r="D104" s="2">
        <v>885012207128</v>
      </c>
      <c r="E104" s="1" t="s">
        <v>81</v>
      </c>
      <c r="F104" s="1" t="s">
        <v>25</v>
      </c>
      <c r="G104" s="1" t="s">
        <v>414</v>
      </c>
      <c r="H104" s="1" t="s">
        <v>148</v>
      </c>
      <c r="K104" s="1" t="s">
        <v>207</v>
      </c>
    </row>
    <row r="105" spans="1:12" x14ac:dyDescent="0.25">
      <c r="A105" s="1" t="s">
        <v>151</v>
      </c>
      <c r="B105" s="1" t="s">
        <v>146</v>
      </c>
      <c r="C105" s="1" t="s">
        <v>147</v>
      </c>
      <c r="D105" s="2">
        <v>885012207128</v>
      </c>
      <c r="E105" s="1" t="s">
        <v>81</v>
      </c>
      <c r="F105" s="1" t="s">
        <v>25</v>
      </c>
      <c r="G105" s="1" t="s">
        <v>414</v>
      </c>
      <c r="H105" s="1" t="s">
        <v>148</v>
      </c>
    </row>
    <row r="106" spans="1:12" x14ac:dyDescent="0.25">
      <c r="A106" s="1" t="s">
        <v>152</v>
      </c>
      <c r="B106" s="1" t="s">
        <v>146</v>
      </c>
      <c r="C106" s="1" t="s">
        <v>147</v>
      </c>
      <c r="D106" s="2">
        <v>885012207128</v>
      </c>
      <c r="E106" s="1" t="s">
        <v>81</v>
      </c>
      <c r="F106" s="1" t="s">
        <v>25</v>
      </c>
      <c r="G106" s="1" t="s">
        <v>414</v>
      </c>
      <c r="H106" s="1" t="s">
        <v>148</v>
      </c>
      <c r="K106" s="1" t="s">
        <v>207</v>
      </c>
    </row>
    <row r="107" spans="1:12" x14ac:dyDescent="0.25">
      <c r="A107" s="1" t="s">
        <v>153</v>
      </c>
      <c r="B107" s="1" t="s">
        <v>146</v>
      </c>
      <c r="C107" s="1" t="s">
        <v>147</v>
      </c>
      <c r="D107" s="2">
        <v>885012207128</v>
      </c>
      <c r="E107" s="1" t="s">
        <v>81</v>
      </c>
      <c r="F107" s="1" t="s">
        <v>25</v>
      </c>
      <c r="G107" s="1" t="s">
        <v>414</v>
      </c>
      <c r="H107" s="1" t="s">
        <v>148</v>
      </c>
      <c r="K107" s="1" t="s">
        <v>207</v>
      </c>
    </row>
    <row r="108" spans="1:12" x14ac:dyDescent="0.25">
      <c r="A108" s="1" t="s">
        <v>279</v>
      </c>
      <c r="B108" s="1" t="s">
        <v>280</v>
      </c>
      <c r="C108" s="1" t="s">
        <v>281</v>
      </c>
      <c r="D108" s="2">
        <v>560112120027</v>
      </c>
      <c r="E108" s="1" t="s">
        <v>264</v>
      </c>
      <c r="F108" s="1" t="s">
        <v>258</v>
      </c>
      <c r="G108" s="1" t="s">
        <v>414</v>
      </c>
      <c r="H108" s="1" t="s">
        <v>278</v>
      </c>
      <c r="K108" s="1" t="s">
        <v>207</v>
      </c>
    </row>
    <row r="109" spans="1:12" x14ac:dyDescent="0.25">
      <c r="A109" s="1" t="s">
        <v>282</v>
      </c>
      <c r="B109" s="1" t="s">
        <v>280</v>
      </c>
      <c r="C109" s="1" t="s">
        <v>281</v>
      </c>
      <c r="D109" s="2">
        <v>560112120027</v>
      </c>
      <c r="E109" s="1" t="s">
        <v>264</v>
      </c>
      <c r="F109" s="1" t="s">
        <v>258</v>
      </c>
      <c r="G109" s="1" t="s">
        <v>414</v>
      </c>
      <c r="H109" s="1" t="s">
        <v>278</v>
      </c>
      <c r="I109" s="1" t="s">
        <v>236</v>
      </c>
      <c r="J109" s="1" t="s">
        <v>236</v>
      </c>
      <c r="K109" s="1" t="s">
        <v>20</v>
      </c>
      <c r="L109" s="1">
        <v>1210</v>
      </c>
    </row>
    <row r="110" spans="1:12" x14ac:dyDescent="0.25">
      <c r="A110" s="1" t="s">
        <v>283</v>
      </c>
      <c r="B110" s="1" t="s">
        <v>280</v>
      </c>
      <c r="C110" s="1" t="s">
        <v>281</v>
      </c>
      <c r="D110" s="2">
        <v>560112120027</v>
      </c>
      <c r="E110" s="1" t="s">
        <v>264</v>
      </c>
      <c r="F110" s="1" t="s">
        <v>258</v>
      </c>
      <c r="G110" s="1" t="s">
        <v>414</v>
      </c>
      <c r="H110" s="1" t="s">
        <v>278</v>
      </c>
      <c r="I110" s="1" t="s">
        <v>236</v>
      </c>
      <c r="J110" s="1" t="s">
        <v>236</v>
      </c>
      <c r="K110" s="1" t="s">
        <v>20</v>
      </c>
      <c r="L110" s="1">
        <v>1210</v>
      </c>
    </row>
    <row r="111" spans="1:12" x14ac:dyDescent="0.25">
      <c r="A111" s="1" t="s">
        <v>284</v>
      </c>
      <c r="B111" s="1" t="s">
        <v>280</v>
      </c>
      <c r="C111" s="1" t="s">
        <v>281</v>
      </c>
      <c r="D111" s="2">
        <v>560112120027</v>
      </c>
      <c r="E111" s="1" t="s">
        <v>264</v>
      </c>
      <c r="F111" s="1" t="s">
        <v>258</v>
      </c>
      <c r="G111" s="1" t="s">
        <v>414</v>
      </c>
      <c r="H111" s="1" t="s">
        <v>278</v>
      </c>
    </row>
    <row r="112" spans="1:12" x14ac:dyDescent="0.25">
      <c r="A112" s="1" t="s">
        <v>285</v>
      </c>
      <c r="B112" s="1" t="s">
        <v>280</v>
      </c>
      <c r="C112" s="1" t="s">
        <v>281</v>
      </c>
      <c r="D112" s="2">
        <v>560112120027</v>
      </c>
      <c r="E112" s="1" t="s">
        <v>264</v>
      </c>
      <c r="F112" s="1" t="s">
        <v>258</v>
      </c>
      <c r="G112" s="1" t="s">
        <v>414</v>
      </c>
      <c r="H112" s="1" t="s">
        <v>278</v>
      </c>
    </row>
    <row r="113" spans="1:12" x14ac:dyDescent="0.25">
      <c r="A113" s="1" t="s">
        <v>286</v>
      </c>
      <c r="B113" s="1" t="s">
        <v>280</v>
      </c>
      <c r="C113" s="1" t="s">
        <v>281</v>
      </c>
      <c r="D113" s="2">
        <v>560112120027</v>
      </c>
      <c r="E113" s="1" t="s">
        <v>264</v>
      </c>
      <c r="F113" s="1" t="s">
        <v>258</v>
      </c>
      <c r="G113" s="1" t="s">
        <v>414</v>
      </c>
      <c r="H113" s="1" t="s">
        <v>278</v>
      </c>
    </row>
    <row r="114" spans="1:12" x14ac:dyDescent="0.25">
      <c r="A114" s="1" t="s">
        <v>300</v>
      </c>
      <c r="B114" s="1" t="s">
        <v>280</v>
      </c>
      <c r="C114" s="1" t="s">
        <v>281</v>
      </c>
      <c r="D114" s="2">
        <v>560112120027</v>
      </c>
      <c r="E114" s="1" t="s">
        <v>264</v>
      </c>
      <c r="F114" s="1" t="s">
        <v>258</v>
      </c>
      <c r="G114" s="1" t="s">
        <v>414</v>
      </c>
      <c r="H114" s="1" t="s">
        <v>278</v>
      </c>
    </row>
    <row r="115" spans="1:12" x14ac:dyDescent="0.25">
      <c r="A115" s="1" t="s">
        <v>349</v>
      </c>
      <c r="B115" s="1" t="s">
        <v>280</v>
      </c>
      <c r="C115" s="1" t="s">
        <v>281</v>
      </c>
      <c r="D115" s="2">
        <v>560112120027</v>
      </c>
      <c r="E115" s="1" t="s">
        <v>264</v>
      </c>
      <c r="F115" s="1" t="s">
        <v>258</v>
      </c>
      <c r="G115" s="1" t="s">
        <v>414</v>
      </c>
      <c r="H115" s="1" t="s">
        <v>278</v>
      </c>
    </row>
    <row r="116" spans="1:12" x14ac:dyDescent="0.25">
      <c r="A116" s="1" t="s">
        <v>359</v>
      </c>
      <c r="B116" s="1" t="s">
        <v>280</v>
      </c>
      <c r="C116" s="1" t="s">
        <v>281</v>
      </c>
      <c r="D116" s="2">
        <v>560112120027</v>
      </c>
      <c r="E116" s="1" t="s">
        <v>264</v>
      </c>
      <c r="F116" s="1" t="s">
        <v>258</v>
      </c>
      <c r="G116" s="1" t="s">
        <v>414</v>
      </c>
      <c r="H116" s="1" t="s">
        <v>278</v>
      </c>
    </row>
    <row r="117" spans="1:12" x14ac:dyDescent="0.25">
      <c r="A117" s="1" t="s">
        <v>343</v>
      </c>
      <c r="B117" s="1" t="s">
        <v>468</v>
      </c>
      <c r="C117" s="1" t="s">
        <v>344</v>
      </c>
      <c r="D117" s="2" t="s">
        <v>346</v>
      </c>
      <c r="F117" s="1" t="s">
        <v>464</v>
      </c>
      <c r="G117" s="1" t="s">
        <v>465</v>
      </c>
      <c r="H117" s="3" t="s">
        <v>466</v>
      </c>
    </row>
    <row r="118" spans="1:12" x14ac:dyDescent="0.25">
      <c r="A118" s="1" t="s">
        <v>358</v>
      </c>
      <c r="B118" s="1" t="s">
        <v>468</v>
      </c>
      <c r="C118" s="1" t="s">
        <v>344</v>
      </c>
      <c r="D118" s="2" t="s">
        <v>346</v>
      </c>
      <c r="E118" s="1" t="s">
        <v>345</v>
      </c>
      <c r="F118" s="1" t="s">
        <v>467</v>
      </c>
      <c r="G118" s="1" t="s">
        <v>465</v>
      </c>
      <c r="H118" s="3" t="s">
        <v>466</v>
      </c>
    </row>
    <row r="119" spans="1:12" x14ac:dyDescent="0.25">
      <c r="A119" s="1" t="s">
        <v>237</v>
      </c>
      <c r="B119" s="1" t="s">
        <v>238</v>
      </c>
      <c r="C119" s="1" t="s">
        <v>239</v>
      </c>
      <c r="D119" s="2">
        <v>7447709150</v>
      </c>
      <c r="E119" s="1" t="s">
        <v>233</v>
      </c>
      <c r="F119" s="1" t="s">
        <v>234</v>
      </c>
      <c r="G119" s="1" t="s">
        <v>414</v>
      </c>
      <c r="H119" s="1" t="s">
        <v>240</v>
      </c>
      <c r="I119" s="1" t="s">
        <v>260</v>
      </c>
      <c r="J119" s="1" t="s">
        <v>18</v>
      </c>
      <c r="K119" s="1" t="s">
        <v>20</v>
      </c>
      <c r="L119" s="1">
        <v>1206</v>
      </c>
    </row>
    <row r="120" spans="1:12" x14ac:dyDescent="0.25">
      <c r="A120" s="1" t="s">
        <v>266</v>
      </c>
      <c r="B120" s="1" t="s">
        <v>267</v>
      </c>
      <c r="C120" s="1" t="s">
        <v>268</v>
      </c>
      <c r="D120" s="2">
        <v>560112132032</v>
      </c>
      <c r="E120" s="1" t="s">
        <v>257</v>
      </c>
      <c r="F120" s="1" t="s">
        <v>258</v>
      </c>
      <c r="G120" s="1" t="s">
        <v>414</v>
      </c>
      <c r="H120" s="1" t="s">
        <v>269</v>
      </c>
      <c r="I120" s="1" t="s">
        <v>32</v>
      </c>
      <c r="J120" s="1" t="s">
        <v>34</v>
      </c>
      <c r="K120" s="1" t="s">
        <v>20</v>
      </c>
      <c r="L120" s="1">
        <v>805</v>
      </c>
    </row>
    <row r="121" spans="1:12" x14ac:dyDescent="0.25">
      <c r="A121" s="1" t="s">
        <v>270</v>
      </c>
      <c r="B121" s="1" t="s">
        <v>267</v>
      </c>
      <c r="C121" s="1" t="s">
        <v>268</v>
      </c>
      <c r="D121" s="2">
        <v>560112132032</v>
      </c>
      <c r="E121" s="1" t="s">
        <v>257</v>
      </c>
      <c r="F121" s="1" t="s">
        <v>258</v>
      </c>
      <c r="G121" s="1" t="s">
        <v>414</v>
      </c>
      <c r="H121" s="1" t="s">
        <v>269</v>
      </c>
      <c r="I121" s="1" t="s">
        <v>260</v>
      </c>
      <c r="J121" s="1" t="s">
        <v>18</v>
      </c>
      <c r="K121" s="1" t="s">
        <v>20</v>
      </c>
      <c r="L121" s="1">
        <v>1206</v>
      </c>
    </row>
    <row r="122" spans="1:12" x14ac:dyDescent="0.25">
      <c r="A122" s="1" t="s">
        <v>271</v>
      </c>
      <c r="B122" s="1" t="s">
        <v>267</v>
      </c>
      <c r="C122" s="1" t="s">
        <v>268</v>
      </c>
      <c r="D122" s="2">
        <v>560112132032</v>
      </c>
      <c r="E122" s="1" t="s">
        <v>257</v>
      </c>
      <c r="F122" s="1" t="s">
        <v>258</v>
      </c>
      <c r="G122" s="1" t="s">
        <v>414</v>
      </c>
      <c r="H122" s="1" t="s">
        <v>269</v>
      </c>
      <c r="I122" s="1" t="s">
        <v>260</v>
      </c>
      <c r="J122" s="1" t="s">
        <v>18</v>
      </c>
      <c r="K122" s="1" t="s">
        <v>20</v>
      </c>
      <c r="L122" s="1">
        <v>1206</v>
      </c>
    </row>
    <row r="123" spans="1:12" x14ac:dyDescent="0.25">
      <c r="A123" s="1" t="s">
        <v>272</v>
      </c>
      <c r="B123" s="1" t="s">
        <v>267</v>
      </c>
      <c r="C123" s="1" t="s">
        <v>268</v>
      </c>
      <c r="D123" s="2">
        <v>560112132032</v>
      </c>
      <c r="E123" s="1" t="s">
        <v>257</v>
      </c>
      <c r="F123" s="1" t="s">
        <v>258</v>
      </c>
      <c r="G123" s="1" t="s">
        <v>414</v>
      </c>
      <c r="H123" s="1" t="s">
        <v>269</v>
      </c>
      <c r="I123" s="1" t="s">
        <v>260</v>
      </c>
      <c r="J123" s="1" t="s">
        <v>18</v>
      </c>
      <c r="K123" s="1" t="s">
        <v>20</v>
      </c>
      <c r="L123" s="1">
        <v>1206</v>
      </c>
    </row>
    <row r="124" spans="1:12" x14ac:dyDescent="0.25">
      <c r="A124" s="1" t="s">
        <v>273</v>
      </c>
      <c r="B124" s="1" t="s">
        <v>267</v>
      </c>
      <c r="C124" s="1" t="s">
        <v>268</v>
      </c>
      <c r="D124" s="2">
        <v>560112132032</v>
      </c>
      <c r="E124" s="1" t="s">
        <v>257</v>
      </c>
      <c r="F124" s="1" t="s">
        <v>258</v>
      </c>
      <c r="G124" s="1" t="s">
        <v>414</v>
      </c>
      <c r="H124" s="1" t="s">
        <v>269</v>
      </c>
      <c r="I124" s="1" t="s">
        <v>260</v>
      </c>
      <c r="J124" s="1" t="s">
        <v>18</v>
      </c>
      <c r="K124" s="1" t="s">
        <v>20</v>
      </c>
      <c r="L124" s="1">
        <v>1206</v>
      </c>
    </row>
    <row r="125" spans="1:12" x14ac:dyDescent="0.25">
      <c r="A125" s="1" t="s">
        <v>274</v>
      </c>
      <c r="B125" s="1" t="s">
        <v>267</v>
      </c>
      <c r="C125" s="1" t="s">
        <v>268</v>
      </c>
      <c r="D125" s="2">
        <v>560112132032</v>
      </c>
      <c r="E125" s="1" t="s">
        <v>257</v>
      </c>
      <c r="F125" s="1" t="s">
        <v>258</v>
      </c>
      <c r="G125" s="1" t="s">
        <v>414</v>
      </c>
      <c r="H125" s="1" t="s">
        <v>269</v>
      </c>
      <c r="I125" s="1" t="s">
        <v>260</v>
      </c>
      <c r="J125" s="1" t="s">
        <v>18</v>
      </c>
      <c r="K125" s="1" t="s">
        <v>20</v>
      </c>
      <c r="L125" s="1">
        <v>1206</v>
      </c>
    </row>
    <row r="126" spans="1:12" x14ac:dyDescent="0.25">
      <c r="A126" s="1" t="s">
        <v>299</v>
      </c>
      <c r="B126" s="1" t="s">
        <v>267</v>
      </c>
      <c r="C126" s="1" t="s">
        <v>268</v>
      </c>
      <c r="D126" s="2">
        <v>560112132032</v>
      </c>
      <c r="E126" s="1" t="s">
        <v>257</v>
      </c>
      <c r="F126" s="1" t="s">
        <v>258</v>
      </c>
      <c r="G126" s="1" t="s">
        <v>414</v>
      </c>
      <c r="H126" s="1" t="s">
        <v>269</v>
      </c>
      <c r="I126" s="1" t="s">
        <v>260</v>
      </c>
      <c r="J126" s="1" t="s">
        <v>18</v>
      </c>
      <c r="K126" s="1" t="s">
        <v>20</v>
      </c>
      <c r="L126" s="1">
        <v>1206</v>
      </c>
    </row>
    <row r="127" spans="1:12" x14ac:dyDescent="0.25">
      <c r="A127" s="1" t="s">
        <v>22</v>
      </c>
      <c r="B127" s="1" t="s">
        <v>23</v>
      </c>
      <c r="C127" s="1" t="s">
        <v>24</v>
      </c>
      <c r="D127" s="2">
        <v>885012208124</v>
      </c>
      <c r="E127" s="1" t="s">
        <v>15</v>
      </c>
      <c r="F127" s="1" t="s">
        <v>25</v>
      </c>
      <c r="G127" s="1" t="s">
        <v>414</v>
      </c>
      <c r="H127" s="1" t="s">
        <v>26</v>
      </c>
      <c r="I127" s="1" t="s">
        <v>32</v>
      </c>
      <c r="J127" s="1" t="s">
        <v>34</v>
      </c>
      <c r="K127" s="1" t="s">
        <v>20</v>
      </c>
      <c r="L127" s="1">
        <v>805</v>
      </c>
    </row>
    <row r="128" spans="1:12" x14ac:dyDescent="0.25">
      <c r="A128" s="1" t="s">
        <v>35</v>
      </c>
      <c r="B128" s="1" t="s">
        <v>23</v>
      </c>
      <c r="C128" s="1" t="s">
        <v>24</v>
      </c>
      <c r="D128" s="2">
        <v>885012208124</v>
      </c>
      <c r="E128" s="1" t="s">
        <v>15</v>
      </c>
      <c r="F128" s="1" t="s">
        <v>25</v>
      </c>
      <c r="G128" s="1" t="s">
        <v>414</v>
      </c>
      <c r="H128" s="1" t="s">
        <v>26</v>
      </c>
      <c r="I128" s="1" t="s">
        <v>32</v>
      </c>
      <c r="J128" s="1" t="s">
        <v>34</v>
      </c>
      <c r="K128" s="1" t="s">
        <v>20</v>
      </c>
      <c r="L128" s="1">
        <v>805</v>
      </c>
    </row>
    <row r="129" spans="1:12" x14ac:dyDescent="0.25">
      <c r="A129" s="1" t="s">
        <v>40</v>
      </c>
      <c r="B129" s="1" t="s">
        <v>23</v>
      </c>
      <c r="C129" s="1" t="s">
        <v>24</v>
      </c>
      <c r="D129" s="2">
        <v>885012208124</v>
      </c>
      <c r="E129" s="1" t="s">
        <v>15</v>
      </c>
      <c r="F129" s="1" t="s">
        <v>25</v>
      </c>
      <c r="G129" s="1" t="s">
        <v>414</v>
      </c>
      <c r="H129" s="1" t="s">
        <v>26</v>
      </c>
      <c r="I129" s="1" t="s">
        <v>32</v>
      </c>
      <c r="J129" s="1" t="s">
        <v>34</v>
      </c>
      <c r="K129" s="1" t="s">
        <v>20</v>
      </c>
      <c r="L129" s="1">
        <v>805</v>
      </c>
    </row>
    <row r="130" spans="1:12" x14ac:dyDescent="0.25">
      <c r="A130" s="1" t="s">
        <v>71</v>
      </c>
      <c r="B130" s="1" t="s">
        <v>23</v>
      </c>
      <c r="C130" s="1" t="s">
        <v>24</v>
      </c>
      <c r="D130" s="2">
        <v>885012208124</v>
      </c>
      <c r="E130" s="1" t="s">
        <v>15</v>
      </c>
      <c r="F130" s="1" t="s">
        <v>25</v>
      </c>
      <c r="G130" s="1" t="s">
        <v>414</v>
      </c>
      <c r="H130" s="1" t="s">
        <v>26</v>
      </c>
      <c r="I130" s="1" t="s">
        <v>32</v>
      </c>
      <c r="J130" s="1" t="s">
        <v>34</v>
      </c>
      <c r="K130" s="1" t="s">
        <v>20</v>
      </c>
      <c r="L130" s="1">
        <v>805</v>
      </c>
    </row>
    <row r="131" spans="1:12" x14ac:dyDescent="0.25">
      <c r="A131" s="1" t="s">
        <v>88</v>
      </c>
      <c r="B131" s="1" t="s">
        <v>23</v>
      </c>
      <c r="C131" s="1" t="s">
        <v>24</v>
      </c>
      <c r="D131" s="2">
        <v>885012208124</v>
      </c>
      <c r="E131" s="1" t="s">
        <v>15</v>
      </c>
      <c r="F131" s="1" t="s">
        <v>25</v>
      </c>
      <c r="G131" s="1" t="s">
        <v>414</v>
      </c>
      <c r="H131" s="1" t="s">
        <v>26</v>
      </c>
      <c r="I131" s="1" t="s">
        <v>32</v>
      </c>
      <c r="J131" s="1" t="s">
        <v>34</v>
      </c>
      <c r="K131" s="1" t="s">
        <v>20</v>
      </c>
      <c r="L131" s="1">
        <v>805</v>
      </c>
    </row>
    <row r="132" spans="1:12" x14ac:dyDescent="0.25">
      <c r="A132" s="1" t="s">
        <v>89</v>
      </c>
      <c r="B132" s="1" t="s">
        <v>23</v>
      </c>
      <c r="C132" s="1" t="s">
        <v>24</v>
      </c>
      <c r="D132" s="2">
        <v>885012208124</v>
      </c>
      <c r="E132" s="1" t="s">
        <v>15</v>
      </c>
      <c r="F132" s="1" t="s">
        <v>25</v>
      </c>
      <c r="G132" s="1" t="s">
        <v>414</v>
      </c>
      <c r="H132" s="1" t="s">
        <v>26</v>
      </c>
      <c r="I132" s="1" t="s">
        <v>32</v>
      </c>
      <c r="J132" s="1" t="s">
        <v>34</v>
      </c>
      <c r="K132" s="1" t="s">
        <v>20</v>
      </c>
      <c r="L132" s="1">
        <v>805</v>
      </c>
    </row>
    <row r="133" spans="1:12" x14ac:dyDescent="0.25">
      <c r="A133" s="1" t="s">
        <v>95</v>
      </c>
      <c r="B133" s="1" t="s">
        <v>23</v>
      </c>
      <c r="C133" s="1" t="s">
        <v>24</v>
      </c>
      <c r="D133" s="2">
        <v>885012208124</v>
      </c>
      <c r="E133" s="1" t="s">
        <v>15</v>
      </c>
      <c r="F133" s="1" t="s">
        <v>25</v>
      </c>
      <c r="G133" s="1" t="s">
        <v>414</v>
      </c>
      <c r="H133" s="1" t="s">
        <v>26</v>
      </c>
      <c r="I133" s="1" t="s">
        <v>32</v>
      </c>
      <c r="J133" s="1" t="s">
        <v>34</v>
      </c>
      <c r="K133" s="1" t="s">
        <v>20</v>
      </c>
      <c r="L133" s="1">
        <v>805</v>
      </c>
    </row>
    <row r="134" spans="1:12" x14ac:dyDescent="0.25">
      <c r="A134" s="1" t="s">
        <v>118</v>
      </c>
      <c r="B134" s="1" t="s">
        <v>23</v>
      </c>
      <c r="C134" s="1" t="s">
        <v>24</v>
      </c>
      <c r="D134" s="2">
        <v>885012208124</v>
      </c>
      <c r="E134" s="1" t="s">
        <v>15</v>
      </c>
      <c r="F134" s="1" t="s">
        <v>25</v>
      </c>
      <c r="G134" s="1" t="s">
        <v>414</v>
      </c>
      <c r="H134" s="1" t="s">
        <v>26</v>
      </c>
      <c r="I134" s="1" t="s">
        <v>32</v>
      </c>
      <c r="J134" s="1" t="s">
        <v>34</v>
      </c>
      <c r="K134" s="1" t="s">
        <v>20</v>
      </c>
      <c r="L134" s="1">
        <v>805</v>
      </c>
    </row>
    <row r="135" spans="1:12" x14ac:dyDescent="0.25">
      <c r="A135" s="1" t="s">
        <v>158</v>
      </c>
      <c r="B135" s="1" t="s">
        <v>23</v>
      </c>
      <c r="C135" s="1" t="s">
        <v>24</v>
      </c>
      <c r="D135" s="2">
        <v>885012208124</v>
      </c>
      <c r="E135" s="1" t="s">
        <v>15</v>
      </c>
      <c r="F135" s="1" t="s">
        <v>25</v>
      </c>
      <c r="G135" s="1" t="s">
        <v>414</v>
      </c>
      <c r="H135" s="1" t="s">
        <v>26</v>
      </c>
      <c r="I135" s="1" t="s">
        <v>32</v>
      </c>
      <c r="J135" s="1" t="s">
        <v>34</v>
      </c>
      <c r="K135" s="1" t="s">
        <v>20</v>
      </c>
      <c r="L135" s="1">
        <v>805</v>
      </c>
    </row>
    <row r="136" spans="1:12" x14ac:dyDescent="0.25">
      <c r="A136" s="1" t="s">
        <v>254</v>
      </c>
      <c r="B136" s="1" t="s">
        <v>255</v>
      </c>
      <c r="C136" s="1" t="s">
        <v>256</v>
      </c>
      <c r="D136" s="2">
        <v>560112132019</v>
      </c>
      <c r="E136" s="1" t="s">
        <v>257</v>
      </c>
      <c r="F136" s="1" t="s">
        <v>258</v>
      </c>
      <c r="G136" s="1" t="s">
        <v>414</v>
      </c>
      <c r="H136" s="1" t="s">
        <v>259</v>
      </c>
      <c r="I136" s="1" t="s">
        <v>32</v>
      </c>
      <c r="J136" s="1" t="s">
        <v>34</v>
      </c>
      <c r="K136" s="1" t="s">
        <v>20</v>
      </c>
      <c r="L136" s="1">
        <v>805</v>
      </c>
    </row>
    <row r="137" spans="1:12" x14ac:dyDescent="0.25">
      <c r="A137" s="1" t="s">
        <v>113</v>
      </c>
      <c r="B137" s="1" t="s">
        <v>114</v>
      </c>
      <c r="C137" s="1" t="s">
        <v>115</v>
      </c>
      <c r="D137" s="2">
        <v>885012007065</v>
      </c>
      <c r="E137" s="1" t="s">
        <v>116</v>
      </c>
      <c r="F137" s="1" t="s">
        <v>16</v>
      </c>
      <c r="G137" s="1" t="s">
        <v>414</v>
      </c>
      <c r="H137" s="1" t="s">
        <v>117</v>
      </c>
      <c r="I137" s="1" t="s">
        <v>32</v>
      </c>
      <c r="J137" s="1" t="s">
        <v>34</v>
      </c>
      <c r="K137" s="1" t="s">
        <v>20</v>
      </c>
      <c r="L137" s="1">
        <v>805</v>
      </c>
    </row>
    <row r="138" spans="1:12" x14ac:dyDescent="0.25">
      <c r="A138" s="1" t="s">
        <v>109</v>
      </c>
      <c r="B138" s="1" t="s">
        <v>110</v>
      </c>
      <c r="C138" s="1" t="s">
        <v>111</v>
      </c>
      <c r="D138" s="2">
        <v>885012207100</v>
      </c>
      <c r="E138" s="1" t="s">
        <v>81</v>
      </c>
      <c r="F138" s="1" t="s">
        <v>16</v>
      </c>
      <c r="G138" s="1" t="s">
        <v>414</v>
      </c>
      <c r="H138" s="1" t="s">
        <v>112</v>
      </c>
      <c r="I138" s="1" t="s">
        <v>260</v>
      </c>
      <c r="J138" s="1" t="s">
        <v>18</v>
      </c>
      <c r="K138" s="1" t="s">
        <v>20</v>
      </c>
      <c r="L138" s="1">
        <v>1206</v>
      </c>
    </row>
    <row r="139" spans="1:12" x14ac:dyDescent="0.25">
      <c r="A139" s="1" t="s">
        <v>154</v>
      </c>
      <c r="B139" s="1" t="s">
        <v>110</v>
      </c>
      <c r="C139" s="1" t="s">
        <v>111</v>
      </c>
      <c r="D139" s="2">
        <v>885012207100</v>
      </c>
      <c r="E139" s="1" t="s">
        <v>81</v>
      </c>
      <c r="F139" s="1" t="s">
        <v>16</v>
      </c>
      <c r="G139" s="1" t="s">
        <v>414</v>
      </c>
      <c r="H139" s="1" t="s">
        <v>112</v>
      </c>
      <c r="I139" s="1" t="s">
        <v>32</v>
      </c>
      <c r="J139" s="1" t="s">
        <v>34</v>
      </c>
      <c r="K139" s="1" t="s">
        <v>20</v>
      </c>
      <c r="L139" s="1">
        <v>805</v>
      </c>
    </row>
    <row r="140" spans="1:12" x14ac:dyDescent="0.25">
      <c r="A140" s="1" t="s">
        <v>155</v>
      </c>
      <c r="B140" s="1" t="s">
        <v>110</v>
      </c>
      <c r="C140" s="1" t="s">
        <v>111</v>
      </c>
      <c r="D140" s="2">
        <v>885012207100</v>
      </c>
      <c r="E140" s="1" t="s">
        <v>81</v>
      </c>
      <c r="F140" s="1" t="s">
        <v>16</v>
      </c>
      <c r="G140" s="1" t="s">
        <v>414</v>
      </c>
      <c r="H140" s="1" t="s">
        <v>112</v>
      </c>
      <c r="I140" s="1" t="s">
        <v>32</v>
      </c>
      <c r="J140" s="1" t="s">
        <v>34</v>
      </c>
      <c r="K140" s="1" t="s">
        <v>20</v>
      </c>
      <c r="L140" s="1">
        <v>805</v>
      </c>
    </row>
    <row r="141" spans="1:12" x14ac:dyDescent="0.25">
      <c r="A141" s="1" t="s">
        <v>156</v>
      </c>
      <c r="B141" s="1" t="s">
        <v>110</v>
      </c>
      <c r="C141" s="1" t="s">
        <v>111</v>
      </c>
      <c r="D141" s="2">
        <v>885012207100</v>
      </c>
      <c r="E141" s="1" t="s">
        <v>81</v>
      </c>
      <c r="F141" s="1" t="s">
        <v>16</v>
      </c>
      <c r="G141" s="1" t="s">
        <v>414</v>
      </c>
      <c r="H141" s="1" t="s">
        <v>112</v>
      </c>
      <c r="I141" s="1" t="s">
        <v>32</v>
      </c>
      <c r="J141" s="1" t="s">
        <v>34</v>
      </c>
      <c r="K141" s="1" t="s">
        <v>20</v>
      </c>
      <c r="L141" s="1">
        <v>805</v>
      </c>
    </row>
    <row r="142" spans="1:12" x14ac:dyDescent="0.25">
      <c r="A142" s="1" t="s">
        <v>157</v>
      </c>
      <c r="B142" s="1" t="s">
        <v>110</v>
      </c>
      <c r="C142" s="1" t="s">
        <v>111</v>
      </c>
      <c r="D142" s="2">
        <v>885012207100</v>
      </c>
      <c r="E142" s="1" t="s">
        <v>81</v>
      </c>
      <c r="F142" s="1" t="s">
        <v>16</v>
      </c>
      <c r="G142" s="1" t="s">
        <v>414</v>
      </c>
      <c r="H142" s="1" t="s">
        <v>112</v>
      </c>
      <c r="I142" s="1" t="s">
        <v>32</v>
      </c>
      <c r="J142" s="1" t="s">
        <v>34</v>
      </c>
      <c r="K142" s="1" t="s">
        <v>20</v>
      </c>
      <c r="L142" s="1">
        <v>805</v>
      </c>
    </row>
    <row r="143" spans="1:12" x14ac:dyDescent="0.25">
      <c r="A143" s="1" t="s">
        <v>159</v>
      </c>
      <c r="B143" s="1" t="s">
        <v>110</v>
      </c>
      <c r="C143" s="1" t="s">
        <v>111</v>
      </c>
      <c r="D143" s="2">
        <v>885012207100</v>
      </c>
      <c r="E143" s="1" t="s">
        <v>81</v>
      </c>
      <c r="F143" s="1" t="s">
        <v>16</v>
      </c>
      <c r="G143" s="1" t="s">
        <v>414</v>
      </c>
      <c r="H143" s="1" t="s">
        <v>112</v>
      </c>
      <c r="I143" s="1" t="s">
        <v>32</v>
      </c>
      <c r="J143" s="1" t="s">
        <v>34</v>
      </c>
      <c r="K143" s="1" t="s">
        <v>20</v>
      </c>
      <c r="L143" s="1">
        <v>805</v>
      </c>
    </row>
    <row r="144" spans="1:12" x14ac:dyDescent="0.25">
      <c r="A144" s="1" t="s">
        <v>160</v>
      </c>
      <c r="B144" s="1" t="s">
        <v>110</v>
      </c>
      <c r="C144" s="1" t="s">
        <v>111</v>
      </c>
      <c r="D144" s="2">
        <v>885012207100</v>
      </c>
      <c r="E144" s="1" t="s">
        <v>81</v>
      </c>
      <c r="F144" s="1" t="s">
        <v>16</v>
      </c>
      <c r="G144" s="1" t="s">
        <v>414</v>
      </c>
      <c r="H144" s="1" t="s">
        <v>112</v>
      </c>
      <c r="I144" s="1" t="s">
        <v>32</v>
      </c>
      <c r="J144" s="1" t="s">
        <v>34</v>
      </c>
      <c r="K144" s="1" t="s">
        <v>20</v>
      </c>
      <c r="L144" s="1">
        <v>805</v>
      </c>
    </row>
    <row r="145" spans="1:12" x14ac:dyDescent="0.25">
      <c r="A145" s="1" t="s">
        <v>161</v>
      </c>
      <c r="B145" s="1" t="s">
        <v>110</v>
      </c>
      <c r="C145" s="1" t="s">
        <v>111</v>
      </c>
      <c r="D145" s="2">
        <v>885012207100</v>
      </c>
      <c r="E145" s="1" t="s">
        <v>81</v>
      </c>
      <c r="F145" s="1" t="s">
        <v>16</v>
      </c>
      <c r="G145" s="1" t="s">
        <v>414</v>
      </c>
      <c r="H145" s="1" t="s">
        <v>112</v>
      </c>
      <c r="I145" s="1" t="s">
        <v>32</v>
      </c>
      <c r="J145" s="1" t="s">
        <v>34</v>
      </c>
      <c r="K145" s="1" t="s">
        <v>20</v>
      </c>
      <c r="L145" s="1">
        <v>805</v>
      </c>
    </row>
    <row r="146" spans="1:12" x14ac:dyDescent="0.25">
      <c r="A146" s="1" t="s">
        <v>230</v>
      </c>
      <c r="B146" s="1" t="s">
        <v>231</v>
      </c>
      <c r="C146" s="1" t="s">
        <v>232</v>
      </c>
      <c r="D146" s="2">
        <v>7447709220</v>
      </c>
      <c r="E146" s="1" t="s">
        <v>233</v>
      </c>
      <c r="F146" s="1" t="s">
        <v>234</v>
      </c>
      <c r="G146" s="1" t="s">
        <v>414</v>
      </c>
      <c r="H146" s="1" t="s">
        <v>235</v>
      </c>
      <c r="I146" s="1" t="s">
        <v>32</v>
      </c>
      <c r="J146" s="1" t="s">
        <v>34</v>
      </c>
      <c r="K146" s="1" t="s">
        <v>20</v>
      </c>
      <c r="L146" s="1">
        <v>805</v>
      </c>
    </row>
    <row r="147" spans="1:12" x14ac:dyDescent="0.25">
      <c r="A147" s="1" t="s">
        <v>327</v>
      </c>
      <c r="B147" s="1" t="s">
        <v>328</v>
      </c>
      <c r="C147" s="1" t="s">
        <v>329</v>
      </c>
      <c r="D147" s="2">
        <v>560112120023</v>
      </c>
      <c r="E147" s="1" t="s">
        <v>264</v>
      </c>
      <c r="F147" s="1" t="s">
        <v>258</v>
      </c>
      <c r="G147" s="1" t="s">
        <v>414</v>
      </c>
      <c r="H147" s="1" t="s">
        <v>330</v>
      </c>
      <c r="I147" s="1" t="s">
        <v>32</v>
      </c>
      <c r="J147" s="1" t="s">
        <v>34</v>
      </c>
      <c r="K147" s="1" t="s">
        <v>20</v>
      </c>
      <c r="L147" s="1">
        <v>805</v>
      </c>
    </row>
    <row r="148" spans="1:12" x14ac:dyDescent="0.25">
      <c r="A148" s="1" t="s">
        <v>335</v>
      </c>
      <c r="B148" s="1" t="s">
        <v>328</v>
      </c>
      <c r="C148" s="1" t="s">
        <v>329</v>
      </c>
      <c r="D148" s="2">
        <v>560112120023</v>
      </c>
      <c r="E148" s="1" t="s">
        <v>264</v>
      </c>
      <c r="F148" s="1" t="s">
        <v>258</v>
      </c>
      <c r="G148" s="1" t="s">
        <v>414</v>
      </c>
      <c r="H148" s="1" t="s">
        <v>330</v>
      </c>
      <c r="I148" s="1" t="s">
        <v>32</v>
      </c>
      <c r="J148" s="1" t="s">
        <v>34</v>
      </c>
      <c r="K148" s="1" t="s">
        <v>20</v>
      </c>
      <c r="L148" s="1">
        <v>805</v>
      </c>
    </row>
    <row r="149" spans="1:12" x14ac:dyDescent="0.25">
      <c r="A149" s="1" t="s">
        <v>337</v>
      </c>
      <c r="B149" s="1" t="s">
        <v>328</v>
      </c>
      <c r="C149" s="1" t="s">
        <v>329</v>
      </c>
      <c r="D149" s="2">
        <v>560112120023</v>
      </c>
      <c r="E149" s="1" t="s">
        <v>264</v>
      </c>
      <c r="F149" s="1" t="s">
        <v>258</v>
      </c>
      <c r="G149" s="1" t="s">
        <v>414</v>
      </c>
      <c r="H149" s="1" t="s">
        <v>330</v>
      </c>
      <c r="I149" s="1" t="s">
        <v>32</v>
      </c>
      <c r="J149" s="1" t="s">
        <v>34</v>
      </c>
      <c r="K149" s="1" t="s">
        <v>20</v>
      </c>
      <c r="L149" s="1">
        <v>805</v>
      </c>
    </row>
    <row r="150" spans="1:12" x14ac:dyDescent="0.25">
      <c r="A150" s="1" t="s">
        <v>339</v>
      </c>
      <c r="B150" s="1" t="s">
        <v>328</v>
      </c>
      <c r="C150" s="1" t="s">
        <v>329</v>
      </c>
      <c r="D150" s="2">
        <v>560112120023</v>
      </c>
      <c r="E150" s="1" t="s">
        <v>264</v>
      </c>
      <c r="F150" s="1" t="s">
        <v>258</v>
      </c>
      <c r="G150" s="1" t="s">
        <v>414</v>
      </c>
      <c r="H150" s="1" t="s">
        <v>330</v>
      </c>
      <c r="I150" s="1" t="s">
        <v>32</v>
      </c>
      <c r="J150" s="1" t="s">
        <v>34</v>
      </c>
      <c r="K150" s="1" t="s">
        <v>20</v>
      </c>
      <c r="L150" s="1">
        <v>805</v>
      </c>
    </row>
    <row r="151" spans="1:12" x14ac:dyDescent="0.25">
      <c r="A151" s="1" t="s">
        <v>44</v>
      </c>
      <c r="B151" s="1" t="s">
        <v>45</v>
      </c>
      <c r="C151" s="1" t="s">
        <v>46</v>
      </c>
      <c r="D151" s="2">
        <v>860040874001</v>
      </c>
      <c r="E151" s="1" t="s">
        <v>47</v>
      </c>
      <c r="F151" s="1" t="s">
        <v>48</v>
      </c>
      <c r="G151" s="1" t="s">
        <v>414</v>
      </c>
      <c r="H151" s="1" t="s">
        <v>49</v>
      </c>
      <c r="I151" s="1" t="s">
        <v>32</v>
      </c>
      <c r="J151" s="1" t="s">
        <v>34</v>
      </c>
      <c r="K151" s="1" t="s">
        <v>20</v>
      </c>
      <c r="L151" s="1">
        <v>805</v>
      </c>
    </row>
    <row r="152" spans="1:12" x14ac:dyDescent="0.25">
      <c r="A152" s="1" t="s">
        <v>51</v>
      </c>
      <c r="B152" s="1" t="s">
        <v>45</v>
      </c>
      <c r="C152" s="1" t="s">
        <v>46</v>
      </c>
      <c r="D152" s="2">
        <v>860040874001</v>
      </c>
      <c r="E152" s="1" t="s">
        <v>47</v>
      </c>
      <c r="F152" s="1" t="s">
        <v>48</v>
      </c>
      <c r="G152" s="1" t="s">
        <v>414</v>
      </c>
      <c r="H152" s="1" t="s">
        <v>49</v>
      </c>
      <c r="I152" s="1" t="s">
        <v>32</v>
      </c>
      <c r="J152" s="1" t="s">
        <v>34</v>
      </c>
      <c r="K152" s="1" t="s">
        <v>20</v>
      </c>
      <c r="L152" s="1">
        <v>805</v>
      </c>
    </row>
    <row r="153" spans="1:12" x14ac:dyDescent="0.25">
      <c r="A153" s="1" t="s">
        <v>52</v>
      </c>
      <c r="B153" s="1" t="s">
        <v>45</v>
      </c>
      <c r="C153" s="1" t="s">
        <v>46</v>
      </c>
      <c r="D153" s="2">
        <v>860040874001</v>
      </c>
      <c r="E153" s="1" t="s">
        <v>47</v>
      </c>
      <c r="F153" s="1" t="s">
        <v>48</v>
      </c>
      <c r="G153" s="1" t="s">
        <v>414</v>
      </c>
      <c r="H153" s="1" t="s">
        <v>49</v>
      </c>
      <c r="I153" s="1" t="s">
        <v>32</v>
      </c>
      <c r="J153" s="1" t="s">
        <v>34</v>
      </c>
      <c r="K153" s="1" t="s">
        <v>20</v>
      </c>
      <c r="L153" s="1">
        <v>805</v>
      </c>
    </row>
    <row r="154" spans="1:12" x14ac:dyDescent="0.25">
      <c r="A154" s="1" t="s">
        <v>139</v>
      </c>
      <c r="B154" s="1" t="s">
        <v>45</v>
      </c>
      <c r="C154" s="1" t="s">
        <v>46</v>
      </c>
      <c r="D154" s="2">
        <v>860040874001</v>
      </c>
      <c r="E154" s="1" t="s">
        <v>47</v>
      </c>
      <c r="F154" s="1" t="s">
        <v>48</v>
      </c>
      <c r="G154" s="1" t="s">
        <v>414</v>
      </c>
      <c r="H154" s="1" t="s">
        <v>49</v>
      </c>
      <c r="I154" s="1" t="s">
        <v>32</v>
      </c>
      <c r="J154" s="1" t="s">
        <v>34</v>
      </c>
      <c r="K154" s="1" t="s">
        <v>20</v>
      </c>
      <c r="L154" s="1">
        <v>805</v>
      </c>
    </row>
    <row r="155" spans="1:12" x14ac:dyDescent="0.25">
      <c r="A155" s="1" t="s">
        <v>140</v>
      </c>
      <c r="B155" s="1" t="s">
        <v>45</v>
      </c>
      <c r="C155" s="1" t="s">
        <v>46</v>
      </c>
      <c r="D155" s="2">
        <v>860040874001</v>
      </c>
      <c r="E155" s="1" t="s">
        <v>47</v>
      </c>
      <c r="F155" s="1" t="s">
        <v>48</v>
      </c>
      <c r="G155" s="1" t="s">
        <v>414</v>
      </c>
      <c r="H155" s="1" t="s">
        <v>49</v>
      </c>
      <c r="I155" s="1" t="s">
        <v>32</v>
      </c>
      <c r="J155" s="1" t="s">
        <v>34</v>
      </c>
      <c r="K155" s="1" t="s">
        <v>20</v>
      </c>
      <c r="L155" s="1">
        <v>805</v>
      </c>
    </row>
    <row r="156" spans="1:12" x14ac:dyDescent="0.25">
      <c r="A156" s="1" t="s">
        <v>141</v>
      </c>
      <c r="B156" s="1" t="s">
        <v>45</v>
      </c>
      <c r="C156" s="1" t="s">
        <v>46</v>
      </c>
      <c r="D156" s="2">
        <v>860040874001</v>
      </c>
      <c r="E156" s="1" t="s">
        <v>47</v>
      </c>
      <c r="F156" s="1" t="s">
        <v>48</v>
      </c>
      <c r="G156" s="1" t="s">
        <v>414</v>
      </c>
      <c r="H156" s="1" t="s">
        <v>49</v>
      </c>
      <c r="I156" s="1" t="s">
        <v>32</v>
      </c>
      <c r="J156" s="1" t="s">
        <v>34</v>
      </c>
      <c r="K156" s="1" t="s">
        <v>20</v>
      </c>
      <c r="L156" s="1">
        <v>805</v>
      </c>
    </row>
    <row r="157" spans="1:12" x14ac:dyDescent="0.25">
      <c r="A157" s="1" t="s">
        <v>142</v>
      </c>
      <c r="B157" s="1" t="s">
        <v>45</v>
      </c>
      <c r="C157" s="1" t="s">
        <v>46</v>
      </c>
      <c r="D157" s="2">
        <v>860040874001</v>
      </c>
      <c r="E157" s="1" t="s">
        <v>47</v>
      </c>
      <c r="F157" s="1" t="s">
        <v>48</v>
      </c>
      <c r="G157" s="1" t="s">
        <v>414</v>
      </c>
      <c r="H157" s="1" t="s">
        <v>49</v>
      </c>
      <c r="I157" s="1" t="s">
        <v>32</v>
      </c>
      <c r="J157" s="1" t="s">
        <v>34</v>
      </c>
      <c r="K157" s="1" t="s">
        <v>20</v>
      </c>
      <c r="L157" s="1">
        <v>805</v>
      </c>
    </row>
    <row r="158" spans="1:12" x14ac:dyDescent="0.25">
      <c r="A158" s="1" t="s">
        <v>143</v>
      </c>
      <c r="B158" s="1" t="s">
        <v>45</v>
      </c>
      <c r="C158" s="1" t="s">
        <v>46</v>
      </c>
      <c r="D158" s="2">
        <v>860040874001</v>
      </c>
      <c r="E158" s="1" t="s">
        <v>47</v>
      </c>
      <c r="F158" s="1" t="s">
        <v>48</v>
      </c>
      <c r="G158" s="1" t="s">
        <v>414</v>
      </c>
      <c r="H158" s="1" t="s">
        <v>49</v>
      </c>
      <c r="I158" s="1" t="s">
        <v>32</v>
      </c>
      <c r="J158" s="1" t="s">
        <v>34</v>
      </c>
      <c r="K158" s="1" t="s">
        <v>20</v>
      </c>
      <c r="L158" s="1">
        <v>805</v>
      </c>
    </row>
    <row r="159" spans="1:12" x14ac:dyDescent="0.25">
      <c r="A159" s="1" t="s">
        <v>144</v>
      </c>
      <c r="B159" s="1" t="s">
        <v>45</v>
      </c>
      <c r="C159" s="1" t="s">
        <v>46</v>
      </c>
      <c r="D159" s="2">
        <v>860040874001</v>
      </c>
      <c r="E159" s="1" t="s">
        <v>47</v>
      </c>
      <c r="F159" s="1" t="s">
        <v>48</v>
      </c>
      <c r="G159" s="1" t="s">
        <v>414</v>
      </c>
      <c r="H159" s="1" t="s">
        <v>49</v>
      </c>
      <c r="I159" s="1" t="s">
        <v>32</v>
      </c>
      <c r="J159" s="1" t="s">
        <v>34</v>
      </c>
      <c r="K159" s="1" t="s">
        <v>20</v>
      </c>
      <c r="L159" s="1">
        <v>805</v>
      </c>
    </row>
    <row r="160" spans="1:12" x14ac:dyDescent="0.25">
      <c r="A160" s="1" t="s">
        <v>361</v>
      </c>
      <c r="B160" s="1" t="s">
        <v>362</v>
      </c>
      <c r="C160" s="1" t="s">
        <v>363</v>
      </c>
      <c r="D160" s="2">
        <v>580070763001</v>
      </c>
      <c r="E160" s="1" t="s">
        <v>364</v>
      </c>
      <c r="F160" s="1" t="s">
        <v>365</v>
      </c>
      <c r="G160" s="1" t="s">
        <v>414</v>
      </c>
      <c r="H160" s="1" t="s">
        <v>366</v>
      </c>
      <c r="I160" s="1" t="s">
        <v>32</v>
      </c>
      <c r="J160" s="1" t="s">
        <v>34</v>
      </c>
      <c r="K160" s="1" t="s">
        <v>20</v>
      </c>
      <c r="L160" s="1">
        <v>805</v>
      </c>
    </row>
    <row r="161" spans="1:12" x14ac:dyDescent="0.25">
      <c r="A161" s="1" t="s">
        <v>367</v>
      </c>
      <c r="B161" s="1" t="s">
        <v>362</v>
      </c>
      <c r="C161" s="1" t="s">
        <v>363</v>
      </c>
      <c r="D161" s="2">
        <v>580070763001</v>
      </c>
      <c r="E161" s="1" t="s">
        <v>364</v>
      </c>
      <c r="F161" s="1" t="s">
        <v>365</v>
      </c>
      <c r="G161" s="1" t="s">
        <v>414</v>
      </c>
      <c r="H161" s="1" t="s">
        <v>366</v>
      </c>
      <c r="I161" s="1" t="s">
        <v>32</v>
      </c>
      <c r="J161" s="1" t="s">
        <v>34</v>
      </c>
      <c r="K161" s="1" t="s">
        <v>20</v>
      </c>
      <c r="L161" s="1">
        <v>805</v>
      </c>
    </row>
    <row r="162" spans="1:12" x14ac:dyDescent="0.25">
      <c r="A162" s="1" t="s">
        <v>368</v>
      </c>
      <c r="B162" s="1" t="s">
        <v>362</v>
      </c>
      <c r="C162" s="1" t="s">
        <v>363</v>
      </c>
      <c r="D162" s="2">
        <v>580070763001</v>
      </c>
      <c r="E162" s="1" t="s">
        <v>364</v>
      </c>
      <c r="F162" s="1" t="s">
        <v>365</v>
      </c>
      <c r="G162" s="1" t="s">
        <v>414</v>
      </c>
      <c r="H162" s="1" t="s">
        <v>366</v>
      </c>
      <c r="I162" s="1" t="s">
        <v>32</v>
      </c>
      <c r="J162" s="1" t="s">
        <v>34</v>
      </c>
      <c r="K162" s="1" t="s">
        <v>20</v>
      </c>
      <c r="L162" s="1">
        <v>805</v>
      </c>
    </row>
    <row r="163" spans="1:12" x14ac:dyDescent="0.25">
      <c r="A163" s="1" t="s">
        <v>369</v>
      </c>
      <c r="B163" s="1" t="s">
        <v>362</v>
      </c>
      <c r="C163" s="1" t="s">
        <v>363</v>
      </c>
      <c r="D163" s="2">
        <v>580070763001</v>
      </c>
      <c r="E163" s="1" t="s">
        <v>364</v>
      </c>
      <c r="F163" s="1" t="s">
        <v>365</v>
      </c>
      <c r="G163" s="1" t="s">
        <v>414</v>
      </c>
      <c r="H163" s="1" t="s">
        <v>366</v>
      </c>
      <c r="I163" s="1" t="s">
        <v>32</v>
      </c>
      <c r="J163" s="1" t="s">
        <v>34</v>
      </c>
      <c r="K163" s="1" t="s">
        <v>20</v>
      </c>
      <c r="L163" s="1">
        <v>805</v>
      </c>
    </row>
    <row r="164" spans="1:12" x14ac:dyDescent="0.25">
      <c r="A164" s="1" t="s">
        <v>78</v>
      </c>
      <c r="B164" s="1" t="s">
        <v>79</v>
      </c>
      <c r="C164" s="1" t="s">
        <v>80</v>
      </c>
      <c r="D164" s="2">
        <v>885012007091</v>
      </c>
      <c r="E164" s="1" t="s">
        <v>81</v>
      </c>
      <c r="F164" s="1" t="s">
        <v>25</v>
      </c>
      <c r="G164" s="1" t="s">
        <v>414</v>
      </c>
      <c r="H164" s="1" t="s">
        <v>82</v>
      </c>
      <c r="I164" s="1" t="s">
        <v>32</v>
      </c>
      <c r="J164" s="1" t="s">
        <v>34</v>
      </c>
      <c r="K164" s="1" t="s">
        <v>20</v>
      </c>
      <c r="L164" s="1">
        <v>805</v>
      </c>
    </row>
    <row r="165" spans="1:12" x14ac:dyDescent="0.25">
      <c r="A165" s="1" t="s">
        <v>131</v>
      </c>
      <c r="B165" s="1" t="s">
        <v>79</v>
      </c>
      <c r="C165" s="1" t="s">
        <v>132</v>
      </c>
      <c r="D165" s="2">
        <v>885012207119</v>
      </c>
      <c r="E165" s="1" t="s">
        <v>104</v>
      </c>
      <c r="F165" s="1" t="s">
        <v>25</v>
      </c>
      <c r="G165" s="1" t="s">
        <v>414</v>
      </c>
      <c r="H165" s="1" t="s">
        <v>133</v>
      </c>
    </row>
    <row r="166" spans="1:12" x14ac:dyDescent="0.25">
      <c r="A166" s="1" t="s">
        <v>134</v>
      </c>
      <c r="B166" s="1" t="s">
        <v>79</v>
      </c>
      <c r="C166" s="1" t="s">
        <v>132</v>
      </c>
      <c r="D166" s="2">
        <v>885012207119</v>
      </c>
      <c r="E166" s="1" t="s">
        <v>104</v>
      </c>
      <c r="F166" s="1" t="s">
        <v>25</v>
      </c>
      <c r="G166" s="1" t="s">
        <v>414</v>
      </c>
      <c r="H166" s="1" t="s">
        <v>133</v>
      </c>
      <c r="I166" s="1" t="s">
        <v>32</v>
      </c>
      <c r="J166" s="1" t="s">
        <v>34</v>
      </c>
      <c r="K166" s="1" t="s">
        <v>20</v>
      </c>
      <c r="L166" s="1">
        <v>805</v>
      </c>
    </row>
    <row r="167" spans="1:12" x14ac:dyDescent="0.25">
      <c r="A167" s="1" t="s">
        <v>135</v>
      </c>
      <c r="B167" s="1" t="s">
        <v>79</v>
      </c>
      <c r="C167" s="1" t="s">
        <v>132</v>
      </c>
      <c r="D167" s="2">
        <v>885012207119</v>
      </c>
      <c r="E167" s="1" t="s">
        <v>104</v>
      </c>
      <c r="F167" s="1" t="s">
        <v>25</v>
      </c>
      <c r="G167" s="1" t="s">
        <v>414</v>
      </c>
      <c r="H167" s="1" t="s">
        <v>133</v>
      </c>
      <c r="I167" s="1" t="s">
        <v>32</v>
      </c>
      <c r="J167" s="1" t="s">
        <v>34</v>
      </c>
      <c r="K167" s="1" t="s">
        <v>20</v>
      </c>
      <c r="L167" s="1">
        <v>805</v>
      </c>
    </row>
    <row r="168" spans="1:12" x14ac:dyDescent="0.25">
      <c r="A168" s="1" t="s">
        <v>136</v>
      </c>
      <c r="B168" s="1" t="s">
        <v>79</v>
      </c>
      <c r="C168" s="1" t="s">
        <v>132</v>
      </c>
      <c r="D168" s="2">
        <v>885012207119</v>
      </c>
      <c r="E168" s="1" t="s">
        <v>104</v>
      </c>
      <c r="F168" s="1" t="s">
        <v>25</v>
      </c>
      <c r="G168" s="1" t="s">
        <v>414</v>
      </c>
      <c r="H168" s="1" t="s">
        <v>133</v>
      </c>
      <c r="I168" s="1" t="s">
        <v>32</v>
      </c>
      <c r="J168" s="1" t="s">
        <v>34</v>
      </c>
      <c r="K168" s="1" t="s">
        <v>20</v>
      </c>
      <c r="L168" s="1">
        <v>805</v>
      </c>
    </row>
    <row r="169" spans="1:12" x14ac:dyDescent="0.25">
      <c r="A169" s="1" t="s">
        <v>162</v>
      </c>
      <c r="B169" s="1" t="s">
        <v>79</v>
      </c>
      <c r="C169" s="1" t="s">
        <v>132</v>
      </c>
      <c r="D169" s="2">
        <v>885012207119</v>
      </c>
      <c r="E169" s="1" t="s">
        <v>104</v>
      </c>
      <c r="F169" s="1" t="s">
        <v>25</v>
      </c>
      <c r="G169" s="1" t="s">
        <v>414</v>
      </c>
      <c r="H169" s="1" t="s">
        <v>133</v>
      </c>
      <c r="I169" s="1" t="s">
        <v>32</v>
      </c>
      <c r="J169" s="1" t="s">
        <v>34</v>
      </c>
      <c r="K169" s="1" t="s">
        <v>20</v>
      </c>
      <c r="L169" s="1">
        <v>805</v>
      </c>
    </row>
    <row r="170" spans="1:12" x14ac:dyDescent="0.25">
      <c r="A170" s="1" t="s">
        <v>317</v>
      </c>
      <c r="B170" s="1" t="s">
        <v>318</v>
      </c>
      <c r="C170" s="1" t="s">
        <v>319</v>
      </c>
      <c r="D170" s="2">
        <v>560112120033</v>
      </c>
      <c r="E170" s="1" t="s">
        <v>264</v>
      </c>
      <c r="F170" s="1" t="s">
        <v>258</v>
      </c>
      <c r="G170" s="1" t="s">
        <v>414</v>
      </c>
      <c r="H170" s="1" t="s">
        <v>278</v>
      </c>
      <c r="I170" s="1" t="s">
        <v>32</v>
      </c>
      <c r="J170" s="1" t="s">
        <v>34</v>
      </c>
      <c r="K170" s="1" t="s">
        <v>20</v>
      </c>
      <c r="L170" s="1">
        <v>805</v>
      </c>
    </row>
    <row r="171" spans="1:12" x14ac:dyDescent="0.25">
      <c r="A171" s="1" t="s">
        <v>313</v>
      </c>
      <c r="B171" s="1" t="s">
        <v>314</v>
      </c>
      <c r="C171" s="1" t="s">
        <v>315</v>
      </c>
      <c r="D171" s="2">
        <v>560112120007</v>
      </c>
      <c r="E171" s="1" t="s">
        <v>264</v>
      </c>
      <c r="F171" s="1" t="s">
        <v>258</v>
      </c>
      <c r="G171" s="1" t="s">
        <v>414</v>
      </c>
      <c r="H171" s="1" t="s">
        <v>316</v>
      </c>
      <c r="I171" s="1" t="s">
        <v>32</v>
      </c>
      <c r="J171" s="1" t="s">
        <v>34</v>
      </c>
      <c r="K171" s="1" t="s">
        <v>20</v>
      </c>
      <c r="L171" s="1">
        <v>805</v>
      </c>
    </row>
    <row r="172" spans="1:12" x14ac:dyDescent="0.25">
      <c r="A172" s="1" t="s">
        <v>97</v>
      </c>
      <c r="B172" s="1" t="s">
        <v>98</v>
      </c>
      <c r="C172" s="1" t="s">
        <v>99</v>
      </c>
      <c r="D172" s="2">
        <v>885012007092</v>
      </c>
      <c r="E172" s="1" t="s">
        <v>81</v>
      </c>
      <c r="F172" s="1" t="s">
        <v>25</v>
      </c>
      <c r="G172" s="1" t="s">
        <v>414</v>
      </c>
      <c r="H172" s="1" t="s">
        <v>100</v>
      </c>
    </row>
    <row r="173" spans="1:12" x14ac:dyDescent="0.25">
      <c r="A173" s="1" t="s">
        <v>137</v>
      </c>
      <c r="B173" s="1" t="s">
        <v>98</v>
      </c>
      <c r="C173" s="1" t="s">
        <v>99</v>
      </c>
      <c r="D173" s="2">
        <v>885012007092</v>
      </c>
      <c r="E173" s="1" t="s">
        <v>81</v>
      </c>
      <c r="F173" s="1" t="s">
        <v>25</v>
      </c>
      <c r="G173" s="1" t="s">
        <v>414</v>
      </c>
      <c r="H173" s="1" t="s">
        <v>100</v>
      </c>
      <c r="I173" s="1" t="s">
        <v>32</v>
      </c>
      <c r="J173" s="1" t="s">
        <v>34</v>
      </c>
      <c r="K173" s="1" t="s">
        <v>20</v>
      </c>
      <c r="L173" s="1">
        <v>805</v>
      </c>
    </row>
    <row r="174" spans="1:12" x14ac:dyDescent="0.25">
      <c r="A174" s="1" t="s">
        <v>72</v>
      </c>
      <c r="B174" s="1" t="s">
        <v>73</v>
      </c>
      <c r="C174" s="1" t="s">
        <v>74</v>
      </c>
      <c r="D174" s="2">
        <v>860040673002</v>
      </c>
      <c r="E174" s="1" t="s">
        <v>75</v>
      </c>
      <c r="F174" s="1" t="s">
        <v>48</v>
      </c>
      <c r="G174" s="1" t="s">
        <v>414</v>
      </c>
      <c r="H174" s="1" t="s">
        <v>76</v>
      </c>
      <c r="I174" s="1" t="s">
        <v>32</v>
      </c>
      <c r="J174" s="1" t="s">
        <v>34</v>
      </c>
      <c r="K174" s="1" t="s">
        <v>20</v>
      </c>
      <c r="L174" s="1">
        <v>805</v>
      </c>
    </row>
    <row r="175" spans="1:12" x14ac:dyDescent="0.25">
      <c r="A175" s="1" t="s">
        <v>91</v>
      </c>
      <c r="B175" s="1" t="s">
        <v>73</v>
      </c>
      <c r="C175" s="1" t="s">
        <v>92</v>
      </c>
      <c r="D175" s="2">
        <v>885012108012</v>
      </c>
      <c r="E175" s="1" t="s">
        <v>15</v>
      </c>
      <c r="F175" s="1" t="s">
        <v>93</v>
      </c>
      <c r="G175" s="1" t="s">
        <v>414</v>
      </c>
      <c r="H175" s="1" t="s">
        <v>94</v>
      </c>
      <c r="K175" s="1" t="s">
        <v>20</v>
      </c>
    </row>
    <row r="176" spans="1:12" x14ac:dyDescent="0.25">
      <c r="A176" s="1" t="s">
        <v>295</v>
      </c>
      <c r="B176" s="1" t="s">
        <v>296</v>
      </c>
      <c r="C176" s="1" t="s">
        <v>297</v>
      </c>
      <c r="D176" s="2">
        <v>560112120034</v>
      </c>
      <c r="E176" s="1" t="s">
        <v>264</v>
      </c>
      <c r="F176" s="1" t="s">
        <v>258</v>
      </c>
      <c r="G176" s="1" t="s">
        <v>414</v>
      </c>
      <c r="H176" s="1" t="s">
        <v>278</v>
      </c>
      <c r="K176" s="1" t="s">
        <v>20</v>
      </c>
    </row>
    <row r="177" spans="1:11" x14ac:dyDescent="0.25">
      <c r="A177" s="1" t="s">
        <v>307</v>
      </c>
      <c r="B177" s="1" t="s">
        <v>308</v>
      </c>
      <c r="C177" s="1" t="s">
        <v>309</v>
      </c>
      <c r="D177" s="2">
        <v>560112120003</v>
      </c>
      <c r="E177" s="1" t="s">
        <v>264</v>
      </c>
      <c r="F177" s="1" t="s">
        <v>258</v>
      </c>
      <c r="G177" s="1" t="s">
        <v>414</v>
      </c>
      <c r="H177" s="1" t="s">
        <v>310</v>
      </c>
      <c r="K177" s="1" t="s">
        <v>20</v>
      </c>
    </row>
    <row r="178" spans="1:11" x14ac:dyDescent="0.25">
      <c r="A178" s="1" t="s">
        <v>27</v>
      </c>
      <c r="B178" s="1" t="s">
        <v>28</v>
      </c>
      <c r="C178" s="1" t="s">
        <v>29</v>
      </c>
      <c r="D178" s="2">
        <v>885012007055</v>
      </c>
      <c r="E178" s="1" t="s">
        <v>30</v>
      </c>
      <c r="F178" s="1" t="s">
        <v>16</v>
      </c>
      <c r="G178" s="1" t="s">
        <v>414</v>
      </c>
      <c r="H178" s="1" t="s">
        <v>31</v>
      </c>
      <c r="K178" s="1" t="s">
        <v>20</v>
      </c>
    </row>
    <row r="179" spans="1:11" x14ac:dyDescent="0.25">
      <c r="A179" s="1" t="s">
        <v>36</v>
      </c>
      <c r="B179" s="1" t="s">
        <v>28</v>
      </c>
      <c r="C179" s="1" t="s">
        <v>29</v>
      </c>
      <c r="D179" s="2">
        <v>885012007055</v>
      </c>
      <c r="E179" s="1" t="s">
        <v>30</v>
      </c>
      <c r="F179" s="1" t="s">
        <v>16</v>
      </c>
      <c r="G179" s="1" t="s">
        <v>414</v>
      </c>
      <c r="H179" s="1" t="s">
        <v>31</v>
      </c>
      <c r="I179" s="1" t="s">
        <v>373</v>
      </c>
      <c r="J179" s="1" t="s">
        <v>373</v>
      </c>
      <c r="K179" s="1" t="s">
        <v>20</v>
      </c>
    </row>
    <row r="180" spans="1:11" x14ac:dyDescent="0.25">
      <c r="A180" s="1" t="s">
        <v>37</v>
      </c>
      <c r="B180" s="1" t="s">
        <v>28</v>
      </c>
      <c r="C180" s="1" t="s">
        <v>29</v>
      </c>
      <c r="D180" s="2">
        <v>885012007055</v>
      </c>
      <c r="E180" s="1" t="s">
        <v>30</v>
      </c>
      <c r="F180" s="1" t="s">
        <v>16</v>
      </c>
      <c r="G180" s="1" t="s">
        <v>414</v>
      </c>
      <c r="H180" s="1" t="s">
        <v>31</v>
      </c>
      <c r="I180" s="1" t="s">
        <v>373</v>
      </c>
      <c r="J180" s="1" t="s">
        <v>373</v>
      </c>
      <c r="K180" s="1" t="s">
        <v>20</v>
      </c>
    </row>
    <row r="181" spans="1:11" x14ac:dyDescent="0.25">
      <c r="A181" s="1" t="s">
        <v>38</v>
      </c>
      <c r="B181" s="1" t="s">
        <v>28</v>
      </c>
      <c r="C181" s="1" t="s">
        <v>29</v>
      </c>
      <c r="D181" s="2">
        <v>885012007055</v>
      </c>
      <c r="E181" s="1" t="s">
        <v>30</v>
      </c>
      <c r="F181" s="1" t="s">
        <v>16</v>
      </c>
      <c r="G181" s="1" t="s">
        <v>414</v>
      </c>
      <c r="H181" s="1" t="s">
        <v>31</v>
      </c>
    </row>
    <row r="182" spans="1:11" x14ac:dyDescent="0.25">
      <c r="A182" s="1" t="s">
        <v>41</v>
      </c>
      <c r="B182" s="1" t="s">
        <v>28</v>
      </c>
      <c r="C182" s="1" t="s">
        <v>29</v>
      </c>
      <c r="D182" s="2">
        <v>885012007055</v>
      </c>
      <c r="E182" s="1" t="s">
        <v>30</v>
      </c>
      <c r="F182" s="1" t="s">
        <v>16</v>
      </c>
      <c r="G182" s="1" t="s">
        <v>414</v>
      </c>
      <c r="H182" s="1" t="s">
        <v>31</v>
      </c>
    </row>
    <row r="183" spans="1:11" x14ac:dyDescent="0.25">
      <c r="A183" s="1" t="s">
        <v>42</v>
      </c>
      <c r="B183" s="1" t="s">
        <v>28</v>
      </c>
      <c r="C183" s="1" t="s">
        <v>29</v>
      </c>
      <c r="D183" s="2">
        <v>885012007055</v>
      </c>
      <c r="E183" s="1" t="s">
        <v>30</v>
      </c>
      <c r="F183" s="1" t="s">
        <v>16</v>
      </c>
      <c r="G183" s="1" t="s">
        <v>414</v>
      </c>
      <c r="H183" s="1" t="s">
        <v>31</v>
      </c>
    </row>
    <row r="184" spans="1:11" x14ac:dyDescent="0.25">
      <c r="A184" s="1" t="s">
        <v>90</v>
      </c>
      <c r="B184" s="1" t="s">
        <v>28</v>
      </c>
      <c r="C184" s="1" t="s">
        <v>29</v>
      </c>
      <c r="D184" s="2">
        <v>885012007055</v>
      </c>
      <c r="E184" s="1" t="s">
        <v>30</v>
      </c>
      <c r="F184" s="1" t="s">
        <v>16</v>
      </c>
      <c r="G184" s="1" t="s">
        <v>414</v>
      </c>
      <c r="H184" s="1" t="s">
        <v>31</v>
      </c>
    </row>
    <row r="185" spans="1:11" x14ac:dyDescent="0.25">
      <c r="A185" s="1" t="s">
        <v>291</v>
      </c>
      <c r="B185" s="1" t="s">
        <v>292</v>
      </c>
      <c r="C185" s="1" t="s">
        <v>293</v>
      </c>
      <c r="D185" s="2">
        <v>560112120009</v>
      </c>
      <c r="E185" s="1" t="s">
        <v>264</v>
      </c>
      <c r="F185" s="1" t="s">
        <v>258</v>
      </c>
      <c r="G185" s="1" t="s">
        <v>414</v>
      </c>
      <c r="H185" s="1" t="s">
        <v>294</v>
      </c>
    </row>
    <row r="186" spans="1:11" x14ac:dyDescent="0.25">
      <c r="A186" s="1" t="s">
        <v>298</v>
      </c>
      <c r="B186" s="1" t="s">
        <v>292</v>
      </c>
      <c r="C186" s="1" t="s">
        <v>293</v>
      </c>
      <c r="D186" s="2">
        <v>560112120009</v>
      </c>
      <c r="E186" s="1" t="s">
        <v>264</v>
      </c>
      <c r="F186" s="1" t="s">
        <v>258</v>
      </c>
      <c r="G186" s="1" t="s">
        <v>414</v>
      </c>
      <c r="H186" s="1" t="s">
        <v>294</v>
      </c>
    </row>
    <row r="187" spans="1:11" x14ac:dyDescent="0.25">
      <c r="A187" s="1" t="s">
        <v>261</v>
      </c>
      <c r="B187" s="1" t="s">
        <v>262</v>
      </c>
      <c r="C187" s="1" t="s">
        <v>263</v>
      </c>
      <c r="D187" s="2">
        <v>560112120019</v>
      </c>
      <c r="E187" s="1" t="s">
        <v>264</v>
      </c>
      <c r="F187" s="1" t="s">
        <v>258</v>
      </c>
      <c r="G187" s="1" t="s">
        <v>414</v>
      </c>
      <c r="H187" s="1" t="s">
        <v>265</v>
      </c>
    </row>
    <row r="188" spans="1:11" x14ac:dyDescent="0.25">
      <c r="A188" s="1" t="s">
        <v>354</v>
      </c>
      <c r="B188" s="1" t="s">
        <v>355</v>
      </c>
      <c r="C188" s="1" t="s">
        <v>356</v>
      </c>
      <c r="D188" s="2">
        <v>560112120031</v>
      </c>
      <c r="E188" s="1" t="s">
        <v>264</v>
      </c>
      <c r="F188" s="1" t="s">
        <v>258</v>
      </c>
      <c r="G188" s="1" t="s">
        <v>414</v>
      </c>
      <c r="H188" s="1" t="s">
        <v>278</v>
      </c>
    </row>
    <row r="189" spans="1:11" x14ac:dyDescent="0.25">
      <c r="A189" s="1" t="s">
        <v>83</v>
      </c>
      <c r="B189" s="1" t="s">
        <v>84</v>
      </c>
      <c r="C189" s="1" t="s">
        <v>85</v>
      </c>
      <c r="D189" s="2">
        <v>885012007056</v>
      </c>
      <c r="E189" s="1" t="s">
        <v>30</v>
      </c>
      <c r="F189" s="1" t="s">
        <v>16</v>
      </c>
      <c r="G189" s="1" t="s">
        <v>414</v>
      </c>
      <c r="H189" s="1" t="s">
        <v>86</v>
      </c>
    </row>
    <row r="190" spans="1:11" x14ac:dyDescent="0.25">
      <c r="A190" s="1" t="s">
        <v>163</v>
      </c>
      <c r="B190" s="1" t="s">
        <v>168</v>
      </c>
      <c r="C190" s="1" t="s">
        <v>165</v>
      </c>
      <c r="D190" s="2" t="s">
        <v>164</v>
      </c>
      <c r="E190" s="1" t="s">
        <v>166</v>
      </c>
      <c r="F190" s="1" t="s">
        <v>416</v>
      </c>
      <c r="G190" s="1" t="s">
        <v>414</v>
      </c>
      <c r="H190" s="1" t="s">
        <v>167</v>
      </c>
    </row>
    <row r="191" spans="1:11" x14ac:dyDescent="0.25">
      <c r="A191" s="1" t="s">
        <v>169</v>
      </c>
      <c r="B191" s="1" t="s">
        <v>168</v>
      </c>
      <c r="C191" s="1" t="s">
        <v>165</v>
      </c>
      <c r="D191" s="2" t="s">
        <v>164</v>
      </c>
      <c r="E191" s="1" t="s">
        <v>166</v>
      </c>
      <c r="F191" s="1" t="s">
        <v>417</v>
      </c>
      <c r="G191" s="1" t="s">
        <v>414</v>
      </c>
      <c r="H191" s="1" t="s">
        <v>167</v>
      </c>
    </row>
    <row r="192" spans="1:11" x14ac:dyDescent="0.25">
      <c r="A192" s="1" t="s">
        <v>170</v>
      </c>
      <c r="B192" s="1" t="s">
        <v>174</v>
      </c>
      <c r="C192" s="1" t="s">
        <v>172</v>
      </c>
      <c r="D192" s="2" t="s">
        <v>171</v>
      </c>
      <c r="E192" s="1" t="s">
        <v>166</v>
      </c>
      <c r="F192" s="1" t="s">
        <v>417</v>
      </c>
      <c r="G192" s="1" t="s">
        <v>414</v>
      </c>
      <c r="H192" s="1" t="s">
        <v>173</v>
      </c>
    </row>
    <row r="193" spans="1:8" x14ac:dyDescent="0.25">
      <c r="A193" s="1" t="s">
        <v>182</v>
      </c>
      <c r="B193" s="1" t="s">
        <v>186</v>
      </c>
      <c r="C193" s="1" t="s">
        <v>184</v>
      </c>
      <c r="D193" s="2" t="s">
        <v>183</v>
      </c>
      <c r="E193" s="1" t="s">
        <v>166</v>
      </c>
      <c r="F193" s="1" t="s">
        <v>417</v>
      </c>
      <c r="G193" s="1" t="s">
        <v>414</v>
      </c>
      <c r="H193" s="4" t="s">
        <v>185</v>
      </c>
    </row>
  </sheetData>
  <phoneticPr fontId="19" type="noConversion"/>
  <hyperlinks>
    <hyperlink ref="H17" r:id="rId1" display="https://www.onsemi.com/pdf/datasheet/bzx84c2v4lt1-d.pdf" xr:uid="{E026A2F2-64B4-428C-9EA5-20B04636172D}"/>
    <hyperlink ref="H86:H88" r:id="rId2" display="https://www.onsemi.com/pdf/datasheet/bzx84c2v4lt1-d.pdf" xr:uid="{C2ACF92E-42CF-4E65-91DD-8998E6AC7B4D}"/>
    <hyperlink ref="H193" r:id="rId3" xr:uid="{09EB79D0-F842-44EC-9747-434B3A64BDAA}"/>
    <hyperlink ref="H21" r:id="rId4" display="https://www.onsemi.com/pdf/datasheet/bzx84c2v4lt1-d.pdf" xr:uid="{8D921988-C1A0-49A5-8630-EABDDFD0CC5D}"/>
    <hyperlink ref="H16" r:id="rId5" display="https://www.infineon.com/assets/row/public/documents/10/49/infineon-tls4125d0ep-v50-datasheet-en.pdf" xr:uid="{6C231B97-7FB4-4200-BD78-6DD67BB3EF34}"/>
    <hyperlink ref="H15" r:id="rId6" display="https://www.infineon.com/assets/row/public/documents/10/49/infineon-tls208d1-ds-en.pdf" xr:uid="{D1F2891D-5657-49AA-9DC0-3B339EECE61F}"/>
    <hyperlink ref="H14" r:id="rId7" display="https://www.infineon.com/assets/row/public/documents/10/49/infineon-tls208d1-ds-en.pdf" xr:uid="{76BB1B55-B11D-422B-9514-AE5661F79BC4}"/>
    <hyperlink ref="H22" r:id="rId8" display="https://docs.rs-online.com/3b50/A700000010244389.pdf" xr:uid="{295916E7-516F-4A15-9C4A-AE8D77295A76}"/>
    <hyperlink ref="H47" r:id="rId9" display="https://www.we-online.com/components/products/datasheet/691219610002.pdf" xr:uid="{8A4261A3-05EC-4D4C-83BC-D89EEA036E52}"/>
    <hyperlink ref="H46" r:id="rId10" display="https://www.we-online.com/components/products/datasheet/691219610003.pdf" xr:uid="{C65763E3-CBA6-40C3-B809-20E63C1E5067}"/>
    <hyperlink ref="H38" r:id="rId11" xr:uid="{BF0BA1D6-B8A4-4C2F-9953-20272DEFF006}"/>
    <hyperlink ref="H23" r:id="rId12" location="distributorinfo" display="https://www.samtec.com/de/products/erf8-040-05.0-l-dv-l-k-tr - distributorinfo" xr:uid="{0C2AB9D7-5003-4357-9564-155FFD108C2A}"/>
    <hyperlink ref="H24" r:id="rId13" location="distributorinfo" display="https://www.samtec.com/de/products/erf8-040-05.0-l-dv-l-k-tr - distributorinfo" xr:uid="{D7041F36-9C4B-4C18-A8E3-CECD1BDC3C17}"/>
    <hyperlink ref="H25" r:id="rId14" display="https://www.samtec.com/de/products/hsec8-160-01-l-dv-a-bl" xr:uid="{3874AF39-9FF6-48B6-998A-58FCA52ECDC6}"/>
    <hyperlink ref="H2" r:id="rId15" display="https://www.tdk-electronics.tdk.com/inf/50/db/ntc/NTC_SMD_Standard_series_0805.pdf" xr:uid="{8DE054DB-E416-459F-BC0D-7AF39950628D}"/>
    <hyperlink ref="H7" r:id="rId16" display="https://www.infineon.com/assets/row/public/documents/24/49/infineon-irf100p218-datasheet-en.pdf" xr:uid="{ECC54027-A64D-4CCE-8846-8100F6CF379D}"/>
    <hyperlink ref="H113:H118" r:id="rId17" display="https://www.infineon.com/assets/row/public/documents/24/49/infineon-irf100p218-datasheet-en.pdf" xr:uid="{F12710CD-4D18-4BF2-8CDB-6B735FE95ECF}"/>
    <hyperlink ref="H117" r:id="rId18" display="https://www.bourns.com/docs/Product-Datasheets/3386.pdf" xr:uid="{F4F5E12D-F6D8-4497-9115-87B95457AAB7}"/>
    <hyperlink ref="H118" r:id="rId19" display="https://www.bourns.com/docs/Product-Datasheets/3386.pdf" xr:uid="{AB15FDE0-AEBF-4B75-8373-047A8AA0CF2D}"/>
    <hyperlink ref="H31" r:id="rId20" display="https://www.ti.com/lit/ds/symlink/lm5013.pdf?ts=1753887799318&amp;ref_url=https%253A%252F%252Fwww.ti.com%252Fpower-management%252Facdc-dcdc-converters%252Fproducts.html" xr:uid="{92F14369-B323-49EB-AD8D-3CCC687F13B4}"/>
    <hyperlink ref="H4" r:id="rId21" display="https://www.infineon.com/assets/row/public/documents/60/49/infineon-2ed2304s06f-datasheet-en.pdf" xr:uid="{F9105C46-32CB-4AFD-B0BE-4A92921B1CD9}"/>
    <hyperlink ref="H5" r:id="rId22" display="https://www.infineon.com/assets/row/public/documents/60/49/infineon-2ed2304s06f-datasheet-en.pdf" xr:uid="{60DFE2F2-1058-4C7C-9527-60A1D38634D4}"/>
    <hyperlink ref="H6" r:id="rId23" display="https://www.infineon.com/assets/row/public/documents/60/49/infineon-2ed2304s06f-datasheet-en.pdf" xr:uid="{11D8C666-1F07-42B1-8452-F284C0EF720E}"/>
    <hyperlink ref="H26" r:id="rId24" display="https://docs.rs-online.com/9871/0900766b8126d336.pdf" xr:uid="{DB5DD1D4-8E23-43AC-9EAD-8D3126E27329}"/>
    <hyperlink ref="H27" r:id="rId25" display="https://www.ti.com/lit/ds/symlink/ina240.pdf?ts=1753933408750" xr:uid="{61BE3756-1B4B-4192-ACCC-5A79DEB456E9}"/>
    <hyperlink ref="H28" r:id="rId26" display="https://www.ti.com/lit/ds/symlink/ina240.pdf?ts=1753933408750" xr:uid="{B8526898-C93F-44A0-BC5E-05BE42BC04EF}"/>
    <hyperlink ref="H29" r:id="rId27" display="https://www.ti.com/lit/ds/symlink/ina240.pdf?ts=1753933408750" xr:uid="{7CF5FCEA-C7C1-4336-A199-294093387ABF}"/>
    <hyperlink ref="H30" r:id="rId28" display="https://www.ti.com/lit/ds/symlink/ina240.pdf?ts=1753933408750" xr:uid="{F721A31C-581C-4DFD-B5EC-D788812883FE}"/>
    <hyperlink ref="H3" r:id="rId29" display="https://www.infineon.com/assets/row/public/documents/24/49/infineon-1edl8011-datasheet-en.pdf" xr:uid="{0EE3AD31-8532-414A-879F-682E24D2B28C}"/>
    <hyperlink ref="H33" r:id="rId30" display="https://www.ti.com/lit/ds/symlink/txu0304.pdf?ts=1753955427569&amp;ref_url=https%253A%252F%252Fwww.ti.com%252Fproduct%252FTXU0304%252Fpart-details%252FTXU0304DTRR" xr:uid="{1CB5FE11-48DB-4926-9F40-5216BFAA83B8}"/>
    <hyperlink ref="H34" r:id="rId31" display="https://www.ti.com/lit/ds/symlink/txu0304.pdf?ts=1753955427569&amp;ref_url=https%253A%252F%252Fwww.ti.com%252Fproduct%252FTXU0304%252Fpart-details%252FTXU0304DTRR" xr:uid="{6043B1C6-B6FB-4BD0-B644-AF303FE5DCAE}"/>
    <hyperlink ref="H32" r:id="rId32" display="https://www.ti.com/lit/ds/symlink/txu0104.pdf?ts=1753915550282&amp;ref_url=https%253A%252F%252Fwww.ti.com%252Fproduct-category%252Flogic-voltage-translation%252Fvoltage-translators-level-shifters%252Fvoltage-translators%252Fproducts.html" xr:uid="{462C3C9E-CE92-45BE-A9B7-C7FA85BA023E}"/>
  </hyperlinks>
  <pageMargins left="0.25" right="0.25" top="0.75" bottom="0.75" header="0.3" footer="0.3"/>
  <pageSetup paperSize="9" scale="24" fitToWidth="0" orientation="portrait" r:id="rId3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F69A-1245-4A98-9D63-AE0FAEE86004}">
  <sheetPr>
    <pageSetUpPr fitToPage="1"/>
  </sheetPr>
  <dimension ref="A1:XEY74"/>
  <sheetViews>
    <sheetView topLeftCell="C1" zoomScale="85" zoomScaleNormal="85" workbookViewId="0">
      <pane ySplit="1" topLeftCell="A2" activePane="bottomLeft" state="frozen"/>
      <selection activeCell="C1" sqref="C1"/>
      <selection pane="bottomLeft" activeCell="E81" sqref="E81"/>
    </sheetView>
  </sheetViews>
  <sheetFormatPr defaultColWidth="11.5703125" defaultRowHeight="15" x14ac:dyDescent="0.25"/>
  <cols>
    <col min="1" max="1" width="10.42578125" style="1" bestFit="1" customWidth="1"/>
    <col min="2" max="2" width="55.140625" style="1" bestFit="1" customWidth="1"/>
    <col min="3" max="3" width="10.140625" style="1" bestFit="1" customWidth="1"/>
    <col min="4" max="4" width="57.28515625" style="1" bestFit="1" customWidth="1"/>
    <col min="5" max="5" width="24.140625" style="1" customWidth="1"/>
    <col min="6" max="6" width="34.28515625" style="1" hidden="1" customWidth="1"/>
    <col min="7" max="7" width="69.42578125" style="1" customWidth="1"/>
    <col min="8" max="8" width="20.7109375" style="1" hidden="1" customWidth="1"/>
    <col min="9" max="9" width="102.5703125" style="1" customWidth="1"/>
    <col min="10" max="13" width="11.5703125" style="1" hidden="1" customWidth="1"/>
    <col min="14" max="14" width="15.42578125" style="1" hidden="1" customWidth="1"/>
    <col min="15" max="15" width="15.5703125" style="7" customWidth="1"/>
    <col min="16" max="16" width="11.5703125" style="1" customWidth="1"/>
    <col min="17" max="17" width="11.5703125" style="13"/>
    <col min="18" max="16384" width="11.5703125" style="1"/>
  </cols>
  <sheetData>
    <row r="1" spans="1:16379" s="5" customFormat="1" x14ac:dyDescent="0.25">
      <c r="A1" s="5" t="s">
        <v>0</v>
      </c>
      <c r="B1" s="5" t="s">
        <v>535</v>
      </c>
      <c r="C1" s="5" t="s">
        <v>1</v>
      </c>
      <c r="D1" s="5" t="s">
        <v>2</v>
      </c>
      <c r="E1" s="6" t="s">
        <v>9</v>
      </c>
      <c r="F1" s="5" t="s">
        <v>3</v>
      </c>
      <c r="G1" s="5" t="s">
        <v>4</v>
      </c>
      <c r="H1" s="5" t="s">
        <v>413</v>
      </c>
      <c r="I1" s="5" t="s">
        <v>5</v>
      </c>
      <c r="J1" s="5" t="s">
        <v>6</v>
      </c>
      <c r="K1" s="5" t="s">
        <v>11</v>
      </c>
      <c r="L1" s="5" t="s">
        <v>7</v>
      </c>
      <c r="M1" s="5" t="s">
        <v>10</v>
      </c>
      <c r="N1" s="5" t="s">
        <v>8</v>
      </c>
      <c r="O1" s="5" t="s">
        <v>518</v>
      </c>
      <c r="P1" s="5" t="s">
        <v>519</v>
      </c>
      <c r="Q1" s="12" t="s">
        <v>568</v>
      </c>
    </row>
    <row r="2" spans="1:16379" x14ac:dyDescent="0.25">
      <c r="A2" s="1" t="s">
        <v>176</v>
      </c>
      <c r="B2" s="1" t="s">
        <v>176</v>
      </c>
      <c r="C2" s="1" t="s">
        <v>176</v>
      </c>
      <c r="D2" s="1" t="s">
        <v>512</v>
      </c>
      <c r="E2" s="2" t="s">
        <v>176</v>
      </c>
      <c r="G2" s="1" t="s">
        <v>513</v>
      </c>
      <c r="H2" s="1" t="s">
        <v>176</v>
      </c>
      <c r="I2" s="3"/>
      <c r="O2" s="7">
        <v>4</v>
      </c>
      <c r="P2" s="1">
        <f>Tabelle3[[#This Row],[Quantity/Board]]*4</f>
        <v>16</v>
      </c>
    </row>
    <row r="3" spans="1:16379" x14ac:dyDescent="0.25">
      <c r="A3" s="1" t="s">
        <v>176</v>
      </c>
      <c r="B3" s="1" t="s">
        <v>176</v>
      </c>
      <c r="C3" s="1" t="s">
        <v>176</v>
      </c>
      <c r="D3" s="1" t="s">
        <v>516</v>
      </c>
      <c r="E3" s="2" t="s">
        <v>176</v>
      </c>
      <c r="G3" s="1" t="s">
        <v>511</v>
      </c>
      <c r="H3" s="1" t="s">
        <v>176</v>
      </c>
      <c r="I3" s="4"/>
      <c r="O3" s="7">
        <v>4</v>
      </c>
      <c r="P3" s="1">
        <f>Tabelle3[[#This Row],[Quantity/Board]]*4</f>
        <v>16</v>
      </c>
    </row>
    <row r="4" spans="1:16379" x14ac:dyDescent="0.25">
      <c r="A4" s="1" t="s">
        <v>176</v>
      </c>
      <c r="B4" s="1" t="s">
        <v>176</v>
      </c>
      <c r="C4" s="1" t="s">
        <v>176</v>
      </c>
      <c r="D4" s="1" t="s">
        <v>508</v>
      </c>
      <c r="E4" s="2" t="s">
        <v>176</v>
      </c>
      <c r="G4" s="1" t="s">
        <v>514</v>
      </c>
      <c r="H4" s="1" t="s">
        <v>176</v>
      </c>
      <c r="I4" s="3"/>
      <c r="O4" s="7">
        <v>11</v>
      </c>
      <c r="P4" s="1">
        <f>Tabelle3[[#This Row],[Quantity/Board]]*4</f>
        <v>44</v>
      </c>
    </row>
    <row r="5" spans="1:16379" customFormat="1" x14ac:dyDescent="0.25">
      <c r="A5" s="1" t="s">
        <v>176</v>
      </c>
      <c r="B5" s="1" t="s">
        <v>176</v>
      </c>
      <c r="C5" s="1" t="s">
        <v>176</v>
      </c>
      <c r="D5" s="1" t="s">
        <v>524</v>
      </c>
      <c r="E5" t="s">
        <v>525</v>
      </c>
      <c r="F5" s="1" t="s">
        <v>520</v>
      </c>
      <c r="G5" s="1" t="s">
        <v>534</v>
      </c>
      <c r="H5" s="1" t="s">
        <v>526</v>
      </c>
      <c r="I5" s="3" t="s">
        <v>527</v>
      </c>
      <c r="J5" s="7">
        <f>Tabelle4[[#This Row],[Quantity/Board]]*5</f>
        <v>35</v>
      </c>
      <c r="K5" s="7" t="s">
        <v>523</v>
      </c>
      <c r="L5" s="1"/>
      <c r="M5" s="1"/>
      <c r="N5" s="1"/>
      <c r="O5" s="7">
        <v>7</v>
      </c>
      <c r="P5" s="1"/>
      <c r="Q5" s="13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</row>
    <row r="6" spans="1:16379" x14ac:dyDescent="0.25">
      <c r="A6" s="1" t="s">
        <v>176</v>
      </c>
      <c r="B6" s="1" t="s">
        <v>176</v>
      </c>
      <c r="C6" s="1" t="s">
        <v>176</v>
      </c>
      <c r="D6" s="1" t="s">
        <v>507</v>
      </c>
      <c r="E6" s="2" t="s">
        <v>517</v>
      </c>
      <c r="G6" s="1" t="s">
        <v>507</v>
      </c>
      <c r="H6" s="1" t="s">
        <v>415</v>
      </c>
      <c r="I6" s="3" t="s">
        <v>515</v>
      </c>
      <c r="O6" s="7">
        <v>1</v>
      </c>
      <c r="P6" s="1">
        <v>1</v>
      </c>
      <c r="Q6" s="13">
        <v>1</v>
      </c>
    </row>
    <row r="7" spans="1:16379" x14ac:dyDescent="0.25">
      <c r="A7" s="1" t="s">
        <v>176</v>
      </c>
      <c r="B7" s="1" t="s">
        <v>176</v>
      </c>
      <c r="C7" s="1" t="s">
        <v>176</v>
      </c>
      <c r="D7" s="1" t="s">
        <v>506</v>
      </c>
      <c r="E7" s="2" t="s">
        <v>176</v>
      </c>
      <c r="G7" s="1" t="s">
        <v>506</v>
      </c>
      <c r="H7" s="1" t="s">
        <v>415</v>
      </c>
      <c r="I7" s="4"/>
      <c r="O7" s="7">
        <v>1</v>
      </c>
      <c r="P7" s="1">
        <v>1</v>
      </c>
    </row>
    <row r="8" spans="1:16379" x14ac:dyDescent="0.25">
      <c r="A8" s="1" t="s">
        <v>176</v>
      </c>
      <c r="B8" s="1" t="s">
        <v>176</v>
      </c>
      <c r="C8" s="1" t="s">
        <v>176</v>
      </c>
      <c r="D8" s="1" t="s">
        <v>197</v>
      </c>
      <c r="E8" t="s">
        <v>429</v>
      </c>
      <c r="F8" s="1" t="s">
        <v>198</v>
      </c>
      <c r="G8" s="1" t="s">
        <v>428</v>
      </c>
      <c r="H8" s="1" t="s">
        <v>426</v>
      </c>
      <c r="I8" s="3" t="s">
        <v>427</v>
      </c>
      <c r="O8" s="7">
        <v>1</v>
      </c>
      <c r="P8" s="1">
        <f>Tabelle3[[#This Row],[Quantity/Board]]*4</f>
        <v>4</v>
      </c>
      <c r="Q8" s="13">
        <v>5</v>
      </c>
    </row>
    <row r="9" spans="1:16379" x14ac:dyDescent="0.25">
      <c r="A9" s="1" t="s">
        <v>176</v>
      </c>
      <c r="B9" s="1" t="s">
        <v>176</v>
      </c>
      <c r="C9" s="1" t="s">
        <v>176</v>
      </c>
      <c r="D9" s="1" t="s">
        <v>509</v>
      </c>
      <c r="E9" s="2">
        <v>691361100004</v>
      </c>
      <c r="G9" s="1" t="s">
        <v>500</v>
      </c>
      <c r="H9" s="1" t="s">
        <v>414</v>
      </c>
      <c r="I9" s="3" t="s">
        <v>501</v>
      </c>
      <c r="O9" s="7">
        <v>1</v>
      </c>
      <c r="P9" s="1">
        <f>Tabelle3[[#This Row],[Quantity/Board]]*4</f>
        <v>4</v>
      </c>
      <c r="Q9" s="13">
        <v>4</v>
      </c>
    </row>
    <row r="10" spans="1:16379" x14ac:dyDescent="0.25">
      <c r="A10" s="1" t="s">
        <v>176</v>
      </c>
      <c r="B10" s="1" t="s">
        <v>176</v>
      </c>
      <c r="C10" s="1" t="s">
        <v>176</v>
      </c>
      <c r="D10" s="1" t="s">
        <v>510</v>
      </c>
      <c r="E10" s="2">
        <v>691361100006</v>
      </c>
      <c r="G10" s="1" t="s">
        <v>500</v>
      </c>
      <c r="H10" s="1" t="s">
        <v>414</v>
      </c>
      <c r="I10" s="3" t="s">
        <v>501</v>
      </c>
      <c r="O10" s="7">
        <v>3</v>
      </c>
      <c r="P10" s="1">
        <f>Tabelle3[[#This Row],[Quantity/Board]]*4</f>
        <v>12</v>
      </c>
      <c r="Q10" s="13">
        <v>12</v>
      </c>
    </row>
    <row r="11" spans="1:16379" x14ac:dyDescent="0.25">
      <c r="A11" s="1" t="s">
        <v>176</v>
      </c>
      <c r="B11" s="1" t="s">
        <v>176</v>
      </c>
      <c r="C11" s="1" t="s">
        <v>176</v>
      </c>
      <c r="D11" s="1" t="s">
        <v>497</v>
      </c>
      <c r="E11" s="2">
        <v>60800213421</v>
      </c>
      <c r="G11" s="1" t="s">
        <v>498</v>
      </c>
      <c r="H11" s="1" t="s">
        <v>414</v>
      </c>
      <c r="I11" s="3" t="s">
        <v>499</v>
      </c>
      <c r="O11" s="7">
        <v>3</v>
      </c>
      <c r="P11" s="1">
        <f>Tabelle3[[#This Row],[Quantity/Board]]*4</f>
        <v>12</v>
      </c>
      <c r="Q11" s="13">
        <v>12</v>
      </c>
    </row>
    <row r="12" spans="1:16379" x14ac:dyDescent="0.25">
      <c r="A12" s="1" t="s">
        <v>176</v>
      </c>
      <c r="B12" s="1" t="s">
        <v>176</v>
      </c>
      <c r="C12" s="1" t="s">
        <v>176</v>
      </c>
      <c r="D12" s="1" t="s">
        <v>504</v>
      </c>
      <c r="E12" s="2">
        <v>971120365</v>
      </c>
      <c r="G12" s="1" t="s">
        <v>502</v>
      </c>
      <c r="H12" s="1" t="s">
        <v>414</v>
      </c>
      <c r="I12" s="3" t="s">
        <v>503</v>
      </c>
      <c r="O12" s="7">
        <v>4</v>
      </c>
      <c r="P12" s="1">
        <f>Tabelle3[[#This Row],[Quantity/Board]]*4</f>
        <v>16</v>
      </c>
      <c r="Q12" s="13">
        <v>16</v>
      </c>
    </row>
    <row r="13" spans="1:16379" x14ac:dyDescent="0.25">
      <c r="A13" s="1" t="s">
        <v>491</v>
      </c>
      <c r="B13" s="1" t="s">
        <v>556</v>
      </c>
      <c r="C13" s="1" t="s">
        <v>13</v>
      </c>
      <c r="D13" s="1" t="s">
        <v>14</v>
      </c>
      <c r="E13" s="2">
        <v>885012108022</v>
      </c>
      <c r="F13" s="1" t="s">
        <v>15</v>
      </c>
      <c r="G13" s="1" t="s">
        <v>16</v>
      </c>
      <c r="H13" s="1" t="s">
        <v>414</v>
      </c>
      <c r="I13" s="1" t="s">
        <v>17</v>
      </c>
      <c r="O13" s="7">
        <v>3</v>
      </c>
      <c r="P13" s="1">
        <f>Tabelle3[[#This Row],[Quantity/Board]]*4</f>
        <v>12</v>
      </c>
      <c r="Q13" s="13">
        <v>12</v>
      </c>
    </row>
    <row r="14" spans="1:16379" x14ac:dyDescent="0.25">
      <c r="A14" s="1" t="s">
        <v>491</v>
      </c>
      <c r="B14" s="1" t="s">
        <v>548</v>
      </c>
      <c r="C14" s="1" t="s">
        <v>45</v>
      </c>
      <c r="D14" s="1" t="s">
        <v>46</v>
      </c>
      <c r="E14" s="2">
        <v>860040874001</v>
      </c>
      <c r="F14" s="1" t="s">
        <v>47</v>
      </c>
      <c r="G14" s="1" t="s">
        <v>48</v>
      </c>
      <c r="H14" s="1" t="s">
        <v>414</v>
      </c>
      <c r="I14" s="1" t="s">
        <v>49</v>
      </c>
      <c r="J14" s="1" t="s">
        <v>32</v>
      </c>
      <c r="K14" s="1" t="s">
        <v>34</v>
      </c>
      <c r="L14" s="1" t="s">
        <v>20</v>
      </c>
      <c r="M14" s="1">
        <v>805</v>
      </c>
      <c r="N14" s="1" t="s">
        <v>33</v>
      </c>
      <c r="O14" s="7">
        <v>9</v>
      </c>
      <c r="P14" s="1">
        <f>Tabelle3[[#This Row],[Quantity/Board]]*4</f>
        <v>36</v>
      </c>
      <c r="Q14" s="13">
        <v>36</v>
      </c>
    </row>
    <row r="15" spans="1:16379" x14ac:dyDescent="0.25">
      <c r="A15" s="1" t="s">
        <v>491</v>
      </c>
      <c r="B15" s="1" t="s">
        <v>553</v>
      </c>
      <c r="C15" s="1" t="s">
        <v>54</v>
      </c>
      <c r="D15" s="1" t="s">
        <v>55</v>
      </c>
      <c r="E15" s="2">
        <v>885012209069</v>
      </c>
      <c r="F15" s="1" t="s">
        <v>56</v>
      </c>
      <c r="G15" s="1" t="s">
        <v>25</v>
      </c>
      <c r="H15" s="1" t="s">
        <v>414</v>
      </c>
      <c r="I15" s="1" t="s">
        <v>57</v>
      </c>
      <c r="J15" s="1" t="s">
        <v>32</v>
      </c>
      <c r="K15" s="1" t="s">
        <v>34</v>
      </c>
      <c r="L15" s="1" t="s">
        <v>20</v>
      </c>
      <c r="M15" s="1">
        <v>805</v>
      </c>
      <c r="O15" s="7">
        <v>11</v>
      </c>
      <c r="P15" s="1">
        <f>Tabelle3[[#This Row],[Quantity/Board]]*4</f>
        <v>44</v>
      </c>
      <c r="Q15" s="13">
        <v>44</v>
      </c>
    </row>
    <row r="16" spans="1:16379" x14ac:dyDescent="0.25">
      <c r="A16" s="1" t="s">
        <v>491</v>
      </c>
      <c r="B16" s="1" t="s">
        <v>552</v>
      </c>
      <c r="C16" s="1" t="s">
        <v>23</v>
      </c>
      <c r="D16" s="1" t="s">
        <v>24</v>
      </c>
      <c r="E16" s="2">
        <v>885012208124</v>
      </c>
      <c r="F16" s="1" t="s">
        <v>15</v>
      </c>
      <c r="G16" s="1" t="s">
        <v>25</v>
      </c>
      <c r="H16" s="1" t="s">
        <v>414</v>
      </c>
      <c r="I16" s="1" t="s">
        <v>26</v>
      </c>
      <c r="J16" s="1" t="s">
        <v>32</v>
      </c>
      <c r="K16" s="1" t="s">
        <v>34</v>
      </c>
      <c r="L16" s="1" t="s">
        <v>20</v>
      </c>
      <c r="M16" s="1">
        <v>805</v>
      </c>
      <c r="O16" s="7">
        <v>9</v>
      </c>
      <c r="P16" s="1">
        <f>Tabelle3[[#This Row],[Quantity/Board]]*4</f>
        <v>36</v>
      </c>
      <c r="Q16" s="13">
        <v>36</v>
      </c>
    </row>
    <row r="17" spans="1:17" x14ac:dyDescent="0.25">
      <c r="A17" s="1" t="s">
        <v>491</v>
      </c>
      <c r="B17" s="1" t="s">
        <v>547</v>
      </c>
      <c r="C17" s="1" t="s">
        <v>66</v>
      </c>
      <c r="D17" s="1" t="s">
        <v>67</v>
      </c>
      <c r="E17" s="2">
        <v>860040875005</v>
      </c>
      <c r="F17" s="1" t="s">
        <v>68</v>
      </c>
      <c r="G17" s="1" t="s">
        <v>48</v>
      </c>
      <c r="H17" s="1" t="s">
        <v>414</v>
      </c>
      <c r="I17" s="1" t="s">
        <v>69</v>
      </c>
      <c r="O17" s="7">
        <v>3</v>
      </c>
      <c r="P17" s="1">
        <f>Tabelle3[[#This Row],[Quantity/Board]]*4</f>
        <v>12</v>
      </c>
      <c r="Q17" s="13">
        <v>12</v>
      </c>
    </row>
    <row r="18" spans="1:17" x14ac:dyDescent="0.25">
      <c r="A18" s="1" t="s">
        <v>491</v>
      </c>
      <c r="B18" s="1" t="s">
        <v>72</v>
      </c>
      <c r="C18" s="1" t="s">
        <v>73</v>
      </c>
      <c r="D18" s="1" t="s">
        <v>74</v>
      </c>
      <c r="E18" s="2">
        <v>860040673002</v>
      </c>
      <c r="F18" s="1" t="s">
        <v>75</v>
      </c>
      <c r="G18" s="1" t="s">
        <v>48</v>
      </c>
      <c r="H18" s="1" t="s">
        <v>414</v>
      </c>
      <c r="I18" s="1" t="s">
        <v>76</v>
      </c>
      <c r="J18" s="1" t="s">
        <v>32</v>
      </c>
      <c r="K18" s="1" t="s">
        <v>34</v>
      </c>
      <c r="L18" s="1" t="s">
        <v>20</v>
      </c>
      <c r="M18" s="1">
        <v>805</v>
      </c>
      <c r="N18" s="1" t="s">
        <v>33</v>
      </c>
      <c r="O18" s="7">
        <v>1</v>
      </c>
      <c r="P18" s="1">
        <f>Tabelle3[[#This Row],[Quantity/Board]]*4</f>
        <v>4</v>
      </c>
      <c r="Q18" s="13">
        <v>4</v>
      </c>
    </row>
    <row r="19" spans="1:17" x14ac:dyDescent="0.25">
      <c r="A19" s="1" t="s">
        <v>491</v>
      </c>
      <c r="B19" s="1" t="s">
        <v>78</v>
      </c>
      <c r="C19" s="1" t="s">
        <v>79</v>
      </c>
      <c r="D19" s="1" t="s">
        <v>80</v>
      </c>
      <c r="E19" s="2">
        <v>885012007091</v>
      </c>
      <c r="F19" s="1" t="s">
        <v>81</v>
      </c>
      <c r="G19" s="1" t="s">
        <v>25</v>
      </c>
      <c r="H19" s="1" t="s">
        <v>414</v>
      </c>
      <c r="I19" s="1" t="s">
        <v>82</v>
      </c>
      <c r="J19" s="1" t="s">
        <v>236</v>
      </c>
      <c r="K19" s="1" t="s">
        <v>236</v>
      </c>
      <c r="L19" s="1" t="s">
        <v>20</v>
      </c>
      <c r="M19" s="1">
        <v>1210</v>
      </c>
      <c r="O19" s="7">
        <v>1</v>
      </c>
      <c r="P19" s="1">
        <f>Tabelle3[[#This Row],[Quantity/Board]]*4</f>
        <v>4</v>
      </c>
      <c r="Q19" s="13">
        <v>4</v>
      </c>
    </row>
    <row r="20" spans="1:17" x14ac:dyDescent="0.25">
      <c r="A20" s="1" t="s">
        <v>491</v>
      </c>
      <c r="B20" s="1" t="s">
        <v>83</v>
      </c>
      <c r="C20" s="1" t="s">
        <v>84</v>
      </c>
      <c r="D20" s="1" t="s">
        <v>85</v>
      </c>
      <c r="E20" s="2">
        <v>885012007056</v>
      </c>
      <c r="F20" s="1" t="s">
        <v>30</v>
      </c>
      <c r="G20" s="1" t="s">
        <v>16</v>
      </c>
      <c r="H20" s="1" t="s">
        <v>414</v>
      </c>
      <c r="I20" s="1" t="s">
        <v>86</v>
      </c>
      <c r="O20" s="7">
        <v>1</v>
      </c>
      <c r="P20" s="1">
        <f>Tabelle3[[#This Row],[Quantity/Board]]*4</f>
        <v>4</v>
      </c>
      <c r="Q20" s="13">
        <v>4</v>
      </c>
    </row>
    <row r="21" spans="1:17" x14ac:dyDescent="0.25">
      <c r="A21" s="1" t="s">
        <v>491</v>
      </c>
      <c r="B21" s="1" t="s">
        <v>554</v>
      </c>
      <c r="C21" s="1" t="s">
        <v>28</v>
      </c>
      <c r="D21" s="1" t="s">
        <v>29</v>
      </c>
      <c r="E21" s="2">
        <v>885012007055</v>
      </c>
      <c r="F21" s="1" t="s">
        <v>30</v>
      </c>
      <c r="G21" s="1" t="s">
        <v>16</v>
      </c>
      <c r="H21" s="1" t="s">
        <v>414</v>
      </c>
      <c r="I21" s="1" t="s">
        <v>31</v>
      </c>
      <c r="O21" s="7">
        <v>7</v>
      </c>
      <c r="P21" s="1">
        <f>Tabelle3[[#This Row],[Quantity/Board]]*4</f>
        <v>28</v>
      </c>
      <c r="Q21" s="13">
        <v>28</v>
      </c>
    </row>
    <row r="22" spans="1:17" x14ac:dyDescent="0.25">
      <c r="A22" s="1" t="s">
        <v>491</v>
      </c>
      <c r="B22" s="1" t="s">
        <v>91</v>
      </c>
      <c r="C22" s="1" t="s">
        <v>73</v>
      </c>
      <c r="D22" s="1" t="s">
        <v>92</v>
      </c>
      <c r="E22" s="2">
        <v>885012108012</v>
      </c>
      <c r="F22" s="1" t="s">
        <v>15</v>
      </c>
      <c r="G22" s="1" t="s">
        <v>93</v>
      </c>
      <c r="H22" s="1" t="s">
        <v>414</v>
      </c>
      <c r="I22" s="1" t="s">
        <v>94</v>
      </c>
      <c r="O22" s="7">
        <v>1</v>
      </c>
      <c r="P22" s="1">
        <f>Tabelle3[[#This Row],[Quantity/Board]]*4</f>
        <v>4</v>
      </c>
      <c r="Q22" s="13">
        <v>4</v>
      </c>
    </row>
    <row r="23" spans="1:17" x14ac:dyDescent="0.25">
      <c r="A23" s="1" t="s">
        <v>491</v>
      </c>
      <c r="B23" s="1" t="s">
        <v>549</v>
      </c>
      <c r="C23" s="1" t="s">
        <v>98</v>
      </c>
      <c r="D23" s="1" t="s">
        <v>99</v>
      </c>
      <c r="E23" s="2">
        <v>885012007092</v>
      </c>
      <c r="F23" s="1" t="s">
        <v>81</v>
      </c>
      <c r="G23" s="1" t="s">
        <v>25</v>
      </c>
      <c r="H23" s="1" t="s">
        <v>414</v>
      </c>
      <c r="I23" s="1" t="s">
        <v>100</v>
      </c>
      <c r="J23" s="1" t="s">
        <v>236</v>
      </c>
      <c r="K23" s="1" t="s">
        <v>236</v>
      </c>
      <c r="L23" s="1" t="s">
        <v>20</v>
      </c>
      <c r="M23" s="1">
        <v>1210</v>
      </c>
      <c r="O23" s="7">
        <v>2</v>
      </c>
      <c r="P23" s="1">
        <f>Tabelle3[[#This Row],[Quantity/Board]]*4</f>
        <v>8</v>
      </c>
      <c r="Q23" s="13">
        <v>8</v>
      </c>
    </row>
    <row r="24" spans="1:17" x14ac:dyDescent="0.25">
      <c r="A24" s="1" t="s">
        <v>491</v>
      </c>
      <c r="B24" s="1" t="s">
        <v>555</v>
      </c>
      <c r="C24" s="1" t="s">
        <v>102</v>
      </c>
      <c r="D24" s="1" t="s">
        <v>103</v>
      </c>
      <c r="E24" s="2">
        <v>885012007063</v>
      </c>
      <c r="F24" s="1" t="s">
        <v>104</v>
      </c>
      <c r="G24" s="1" t="s">
        <v>16</v>
      </c>
      <c r="H24" s="1" t="s">
        <v>414</v>
      </c>
      <c r="I24" s="1" t="s">
        <v>105</v>
      </c>
      <c r="O24" s="7">
        <v>12</v>
      </c>
      <c r="P24" s="1">
        <f>Tabelle3[[#This Row],[Quantity/Board]]*4</f>
        <v>48</v>
      </c>
      <c r="Q24" s="13">
        <v>48</v>
      </c>
    </row>
    <row r="25" spans="1:17" x14ac:dyDescent="0.25">
      <c r="A25" s="1" t="s">
        <v>491</v>
      </c>
      <c r="B25" s="1" t="s">
        <v>557</v>
      </c>
      <c r="C25" s="1" t="s">
        <v>110</v>
      </c>
      <c r="D25" s="1" t="s">
        <v>111</v>
      </c>
      <c r="E25" s="2">
        <v>885012207100</v>
      </c>
      <c r="F25" s="1" t="s">
        <v>81</v>
      </c>
      <c r="G25" s="1" t="s">
        <v>16</v>
      </c>
      <c r="H25" s="1" t="s">
        <v>414</v>
      </c>
      <c r="I25" s="1" t="s">
        <v>112</v>
      </c>
      <c r="O25" s="7">
        <v>8</v>
      </c>
      <c r="P25" s="1">
        <f>Tabelle3[[#This Row],[Quantity/Board]]*4</f>
        <v>32</v>
      </c>
      <c r="Q25" s="13">
        <v>32</v>
      </c>
    </row>
    <row r="26" spans="1:17" x14ac:dyDescent="0.25">
      <c r="A26" s="1" t="s">
        <v>491</v>
      </c>
      <c r="B26" s="1" t="s">
        <v>113</v>
      </c>
      <c r="C26" s="1" t="s">
        <v>114</v>
      </c>
      <c r="D26" s="1" t="s">
        <v>115</v>
      </c>
      <c r="E26" s="2">
        <v>885012007065</v>
      </c>
      <c r="F26" s="1" t="s">
        <v>116</v>
      </c>
      <c r="G26" s="1" t="s">
        <v>16</v>
      </c>
      <c r="H26" s="1" t="s">
        <v>414</v>
      </c>
      <c r="I26" s="1" t="s">
        <v>117</v>
      </c>
      <c r="L26" s="1" t="s">
        <v>207</v>
      </c>
      <c r="O26" s="7">
        <v>1</v>
      </c>
      <c r="P26" s="1">
        <f>Tabelle3[[#This Row],[Quantity/Board]]*4</f>
        <v>4</v>
      </c>
      <c r="Q26" s="13">
        <v>4</v>
      </c>
    </row>
    <row r="27" spans="1:17" x14ac:dyDescent="0.25">
      <c r="A27" s="1" t="s">
        <v>491</v>
      </c>
      <c r="B27" s="1" t="s">
        <v>550</v>
      </c>
      <c r="C27" s="1" t="s">
        <v>79</v>
      </c>
      <c r="D27" s="1" t="s">
        <v>132</v>
      </c>
      <c r="E27" s="2">
        <v>885012207119</v>
      </c>
      <c r="F27" s="1" t="s">
        <v>104</v>
      </c>
      <c r="G27" s="1" t="s">
        <v>25</v>
      </c>
      <c r="H27" s="1" t="s">
        <v>414</v>
      </c>
      <c r="I27" s="1" t="s">
        <v>133</v>
      </c>
      <c r="J27" s="1" t="s">
        <v>260</v>
      </c>
      <c r="K27" s="1" t="s">
        <v>18</v>
      </c>
      <c r="L27" s="1" t="s">
        <v>20</v>
      </c>
      <c r="M27" s="1">
        <v>1206</v>
      </c>
      <c r="O27" s="7">
        <v>5</v>
      </c>
      <c r="P27" s="1">
        <f>Tabelle3[[#This Row],[Quantity/Board]]*4</f>
        <v>20</v>
      </c>
      <c r="Q27" s="13">
        <v>20</v>
      </c>
    </row>
    <row r="28" spans="1:17" x14ac:dyDescent="0.25">
      <c r="A28" s="1" t="s">
        <v>491</v>
      </c>
      <c r="B28" s="1" t="s">
        <v>551</v>
      </c>
      <c r="C28" s="1" t="s">
        <v>146</v>
      </c>
      <c r="D28" s="1" t="s">
        <v>147</v>
      </c>
      <c r="E28" s="2">
        <v>885012207128</v>
      </c>
      <c r="F28" s="1" t="s">
        <v>81</v>
      </c>
      <c r="G28" s="1" t="s">
        <v>25</v>
      </c>
      <c r="H28" s="1" t="s">
        <v>414</v>
      </c>
      <c r="I28" s="1" t="s">
        <v>148</v>
      </c>
      <c r="J28" s="1" t="s">
        <v>32</v>
      </c>
      <c r="K28" s="1" t="s">
        <v>34</v>
      </c>
      <c r="L28" s="1" t="s">
        <v>20</v>
      </c>
      <c r="M28" s="1">
        <v>805</v>
      </c>
      <c r="O28" s="7">
        <v>6</v>
      </c>
      <c r="P28" s="1">
        <f>Tabelle3[[#This Row],[Quantity/Board]]*4</f>
        <v>24</v>
      </c>
      <c r="Q28" s="13">
        <v>24</v>
      </c>
    </row>
    <row r="29" spans="1:17" x14ac:dyDescent="0.25">
      <c r="A29" s="1" t="s">
        <v>492</v>
      </c>
      <c r="B29" s="1" t="s">
        <v>558</v>
      </c>
      <c r="C29" s="1" t="s">
        <v>168</v>
      </c>
      <c r="D29" s="1" t="s">
        <v>165</v>
      </c>
      <c r="E29" s="2" t="s">
        <v>164</v>
      </c>
      <c r="F29" s="1" t="s">
        <v>166</v>
      </c>
      <c r="G29" s="1" t="s">
        <v>417</v>
      </c>
      <c r="H29" s="1" t="s">
        <v>414</v>
      </c>
      <c r="I29" s="1" t="s">
        <v>167</v>
      </c>
      <c r="J29" s="1" t="s">
        <v>32</v>
      </c>
      <c r="K29" s="1" t="s">
        <v>34</v>
      </c>
      <c r="L29" s="1" t="s">
        <v>20</v>
      </c>
      <c r="M29" s="1">
        <v>805</v>
      </c>
      <c r="O29" s="7">
        <v>2</v>
      </c>
      <c r="P29" s="1">
        <f>Tabelle3[[#This Row],[Quantity/Board]]*4</f>
        <v>8</v>
      </c>
      <c r="Q29" s="13">
        <v>8</v>
      </c>
    </row>
    <row r="30" spans="1:17" x14ac:dyDescent="0.25">
      <c r="A30" s="1" t="s">
        <v>492</v>
      </c>
      <c r="B30" s="1" t="s">
        <v>170</v>
      </c>
      <c r="C30" s="1" t="s">
        <v>174</v>
      </c>
      <c r="D30" s="1" t="s">
        <v>172</v>
      </c>
      <c r="E30" s="2" t="s">
        <v>171</v>
      </c>
      <c r="F30" s="1" t="s">
        <v>166</v>
      </c>
      <c r="G30" s="1" t="s">
        <v>417</v>
      </c>
      <c r="H30" s="1" t="s">
        <v>414</v>
      </c>
      <c r="I30" s="1" t="s">
        <v>173</v>
      </c>
      <c r="J30" s="1" t="s">
        <v>32</v>
      </c>
      <c r="K30" s="1" t="s">
        <v>34</v>
      </c>
      <c r="L30" s="1" t="s">
        <v>20</v>
      </c>
      <c r="M30" s="1">
        <v>805</v>
      </c>
      <c r="O30" s="7">
        <v>1</v>
      </c>
      <c r="P30" s="1">
        <f>Tabelle3[[#This Row],[Quantity/Board]]*4</f>
        <v>4</v>
      </c>
      <c r="Q30" s="13">
        <v>3</v>
      </c>
    </row>
    <row r="31" spans="1:17" x14ac:dyDescent="0.25">
      <c r="A31" s="1" t="s">
        <v>176</v>
      </c>
      <c r="B31" s="1" t="s">
        <v>539</v>
      </c>
      <c r="C31" s="1" t="s">
        <v>176</v>
      </c>
      <c r="D31" s="1" t="s">
        <v>177</v>
      </c>
      <c r="E31" s="2" t="s">
        <v>178</v>
      </c>
      <c r="G31" s="1" t="s">
        <v>418</v>
      </c>
      <c r="H31" s="1" t="s">
        <v>419</v>
      </c>
      <c r="I31" s="3" t="s">
        <v>420</v>
      </c>
      <c r="J31" s="1" t="s">
        <v>32</v>
      </c>
      <c r="K31" s="1" t="s">
        <v>34</v>
      </c>
      <c r="L31" s="1" t="s">
        <v>20</v>
      </c>
      <c r="M31" s="1">
        <v>805</v>
      </c>
      <c r="O31" s="7">
        <v>5</v>
      </c>
      <c r="P31" s="1">
        <f>Tabelle3[[#This Row],[Quantity/Board]]*4</f>
        <v>20</v>
      </c>
      <c r="Q31" s="13">
        <v>25</v>
      </c>
    </row>
    <row r="32" spans="1:17" x14ac:dyDescent="0.25">
      <c r="A32" s="1" t="s">
        <v>492</v>
      </c>
      <c r="B32" s="1" t="s">
        <v>182</v>
      </c>
      <c r="C32" s="1" t="s">
        <v>186</v>
      </c>
      <c r="D32" s="1" t="s">
        <v>184</v>
      </c>
      <c r="E32" s="2" t="s">
        <v>183</v>
      </c>
      <c r="F32" s="1" t="s">
        <v>166</v>
      </c>
      <c r="G32" s="1" t="s">
        <v>417</v>
      </c>
      <c r="H32" s="1" t="s">
        <v>414</v>
      </c>
      <c r="I32" s="4" t="s">
        <v>185</v>
      </c>
      <c r="J32" s="1" t="s">
        <v>32</v>
      </c>
      <c r="K32" s="1" t="s">
        <v>34</v>
      </c>
      <c r="L32" s="1" t="s">
        <v>20</v>
      </c>
      <c r="M32" s="1">
        <v>805</v>
      </c>
      <c r="O32" s="7">
        <v>1</v>
      </c>
      <c r="P32" s="1">
        <f>Tabelle3[[#This Row],[Quantity/Board]]*4</f>
        <v>4</v>
      </c>
      <c r="Q32" s="13">
        <v>4</v>
      </c>
    </row>
    <row r="33" spans="1:17" x14ac:dyDescent="0.25">
      <c r="A33" s="1" t="s">
        <v>176</v>
      </c>
      <c r="B33" s="1" t="s">
        <v>188</v>
      </c>
      <c r="C33" s="1" t="s">
        <v>176</v>
      </c>
      <c r="D33" s="1" t="s">
        <v>189</v>
      </c>
      <c r="E33" t="s">
        <v>422</v>
      </c>
      <c r="F33" s="1" t="s">
        <v>190</v>
      </c>
      <c r="G33" s="1" t="s">
        <v>423</v>
      </c>
      <c r="H33" s="1" t="s">
        <v>415</v>
      </c>
      <c r="I33" s="3" t="s">
        <v>421</v>
      </c>
      <c r="O33" s="7">
        <v>1</v>
      </c>
      <c r="P33" s="1">
        <f>Tabelle3[[#This Row],[Quantity/Board]]*4</f>
        <v>4</v>
      </c>
      <c r="Q33" s="13">
        <v>5</v>
      </c>
    </row>
    <row r="34" spans="1:17" x14ac:dyDescent="0.25">
      <c r="A34" s="1" t="s">
        <v>176</v>
      </c>
      <c r="B34" s="1" t="s">
        <v>191</v>
      </c>
      <c r="C34" s="1" t="s">
        <v>176</v>
      </c>
      <c r="D34" s="1" t="s">
        <v>192</v>
      </c>
      <c r="E34" s="2" t="s">
        <v>192</v>
      </c>
      <c r="F34" s="1" t="s">
        <v>193</v>
      </c>
      <c r="G34" s="1" t="s">
        <v>481</v>
      </c>
      <c r="H34" s="1" t="s">
        <v>415</v>
      </c>
      <c r="I34" s="3" t="s">
        <v>424</v>
      </c>
      <c r="O34" s="7">
        <v>1</v>
      </c>
      <c r="P34" s="1">
        <f>Tabelle3[[#This Row],[Quantity/Board]]*4</f>
        <v>4</v>
      </c>
      <c r="Q34" s="13">
        <v>5</v>
      </c>
    </row>
    <row r="35" spans="1:17" x14ac:dyDescent="0.25">
      <c r="A35" s="1" t="s">
        <v>176</v>
      </c>
      <c r="B35" s="1" t="s">
        <v>194</v>
      </c>
      <c r="C35" s="1" t="s">
        <v>176</v>
      </c>
      <c r="D35" s="1" t="s">
        <v>195</v>
      </c>
      <c r="E35" s="2" t="s">
        <v>425</v>
      </c>
      <c r="F35" s="1" t="s">
        <v>193</v>
      </c>
      <c r="G35" s="1" t="s">
        <v>482</v>
      </c>
      <c r="H35" s="1" t="s">
        <v>415</v>
      </c>
      <c r="I35" s="3" t="s">
        <v>424</v>
      </c>
      <c r="O35" s="7">
        <v>1</v>
      </c>
      <c r="P35" s="1">
        <f>Tabelle3[[#This Row],[Quantity/Board]]*4</f>
        <v>4</v>
      </c>
      <c r="Q35" s="13">
        <v>5</v>
      </c>
    </row>
    <row r="36" spans="1:17" x14ac:dyDescent="0.25">
      <c r="A36" s="1" t="s">
        <v>176</v>
      </c>
      <c r="B36" s="1" t="s">
        <v>199</v>
      </c>
      <c r="C36" s="1" t="s">
        <v>176</v>
      </c>
      <c r="D36" s="1" t="s">
        <v>200</v>
      </c>
      <c r="E36" s="2">
        <v>691219610002</v>
      </c>
      <c r="F36" s="2">
        <v>691219610002</v>
      </c>
      <c r="G36" s="1" t="s">
        <v>432</v>
      </c>
      <c r="H36" s="1" t="s">
        <v>414</v>
      </c>
      <c r="I36" s="3" t="s">
        <v>430</v>
      </c>
      <c r="J36" s="1" t="s">
        <v>32</v>
      </c>
      <c r="K36" s="1" t="s">
        <v>34</v>
      </c>
      <c r="L36" s="1" t="s">
        <v>20</v>
      </c>
      <c r="M36" s="1">
        <v>805</v>
      </c>
      <c r="N36" s="1" t="s">
        <v>33</v>
      </c>
      <c r="O36" s="7">
        <v>1</v>
      </c>
      <c r="P36" s="1">
        <f>Tabelle3[[#This Row],[Quantity/Board]]*4</f>
        <v>4</v>
      </c>
      <c r="Q36" s="13">
        <v>4</v>
      </c>
    </row>
    <row r="37" spans="1:17" x14ac:dyDescent="0.25">
      <c r="A37" s="2" t="s">
        <v>176</v>
      </c>
      <c r="B37" s="2" t="s">
        <v>222</v>
      </c>
      <c r="C37" s="2" t="s">
        <v>176</v>
      </c>
      <c r="D37" s="1" t="s">
        <v>223</v>
      </c>
      <c r="E37" s="2" t="s">
        <v>442</v>
      </c>
      <c r="F37" s="1" t="s">
        <v>224</v>
      </c>
      <c r="G37" s="1" t="s">
        <v>443</v>
      </c>
      <c r="H37" s="1" t="s">
        <v>225</v>
      </c>
      <c r="I37" s="3" t="s">
        <v>444</v>
      </c>
      <c r="J37" s="1" t="s">
        <v>32</v>
      </c>
      <c r="K37" s="1" t="s">
        <v>34</v>
      </c>
      <c r="L37" s="1" t="s">
        <v>20</v>
      </c>
      <c r="M37" s="1">
        <v>805</v>
      </c>
      <c r="O37" s="7">
        <v>1</v>
      </c>
      <c r="P37" s="1">
        <f>Tabelle3[[#This Row],[Quantity/Board]]*4</f>
        <v>4</v>
      </c>
      <c r="Q37" s="13">
        <v>5</v>
      </c>
    </row>
    <row r="38" spans="1:17" x14ac:dyDescent="0.25">
      <c r="A38" s="2" t="s">
        <v>176</v>
      </c>
      <c r="B38" s="2" t="s">
        <v>227</v>
      </c>
      <c r="C38" s="2" t="s">
        <v>176</v>
      </c>
      <c r="D38" s="2">
        <v>691321100004</v>
      </c>
      <c r="E38" s="2">
        <v>691321100004</v>
      </c>
      <c r="F38" s="2">
        <v>691321100004</v>
      </c>
      <c r="G38" s="1" t="s">
        <v>446</v>
      </c>
      <c r="H38" s="1" t="s">
        <v>414</v>
      </c>
      <c r="I38" s="1" t="s">
        <v>228</v>
      </c>
      <c r="J38" s="1" t="s">
        <v>32</v>
      </c>
      <c r="K38" s="1" t="s">
        <v>34</v>
      </c>
      <c r="L38" s="1" t="s">
        <v>20</v>
      </c>
      <c r="M38" s="1">
        <v>805</v>
      </c>
      <c r="N38" s="1" t="s">
        <v>33</v>
      </c>
      <c r="O38" s="7">
        <v>1</v>
      </c>
      <c r="P38" s="1">
        <f>Tabelle3[[#This Row],[Quantity/Board]]*4</f>
        <v>4</v>
      </c>
      <c r="Q38" s="13">
        <v>4</v>
      </c>
    </row>
    <row r="39" spans="1:17" x14ac:dyDescent="0.25">
      <c r="A39" s="1" t="s">
        <v>176</v>
      </c>
      <c r="B39" s="1" t="s">
        <v>201</v>
      </c>
      <c r="C39" s="1" t="s">
        <v>176</v>
      </c>
      <c r="D39" s="1" t="s">
        <v>202</v>
      </c>
      <c r="E39" s="2">
        <v>691219610003</v>
      </c>
      <c r="F39" s="2">
        <v>691219610003</v>
      </c>
      <c r="G39" s="1" t="s">
        <v>431</v>
      </c>
      <c r="H39" s="1" t="s">
        <v>414</v>
      </c>
      <c r="I39" s="3" t="s">
        <v>430</v>
      </c>
      <c r="J39" s="1" t="s">
        <v>32</v>
      </c>
      <c r="K39" s="1" t="s">
        <v>34</v>
      </c>
      <c r="L39" s="1" t="s">
        <v>20</v>
      </c>
      <c r="M39" s="1">
        <v>805</v>
      </c>
      <c r="N39" s="1" t="s">
        <v>33</v>
      </c>
      <c r="O39" s="7">
        <v>1</v>
      </c>
      <c r="P39" s="1">
        <f>Tabelle3[[#This Row],[Quantity/Board]]*4</f>
        <v>4</v>
      </c>
      <c r="Q39" s="13">
        <v>4</v>
      </c>
    </row>
    <row r="40" spans="1:17" x14ac:dyDescent="0.25">
      <c r="A40" s="1" t="s">
        <v>176</v>
      </c>
      <c r="B40" s="1" t="s">
        <v>545</v>
      </c>
      <c r="C40" s="1" t="s">
        <v>176</v>
      </c>
      <c r="D40" s="1" t="s">
        <v>204</v>
      </c>
      <c r="E40" s="2">
        <v>61300611121</v>
      </c>
      <c r="F40" s="2">
        <v>61300611121</v>
      </c>
      <c r="G40" s="1" t="s">
        <v>205</v>
      </c>
      <c r="H40" s="1" t="s">
        <v>414</v>
      </c>
      <c r="I40" s="1" t="s">
        <v>206</v>
      </c>
      <c r="J40" s="1" t="s">
        <v>32</v>
      </c>
      <c r="K40" s="1" t="s">
        <v>34</v>
      </c>
      <c r="L40" s="1" t="s">
        <v>20</v>
      </c>
      <c r="M40" s="1">
        <v>805</v>
      </c>
      <c r="N40" s="1" t="s">
        <v>33</v>
      </c>
      <c r="O40" s="7">
        <v>2</v>
      </c>
      <c r="P40" s="1">
        <f>Tabelle3[[#This Row],[Quantity/Board]]*4</f>
        <v>8</v>
      </c>
      <c r="Q40" s="13">
        <v>8</v>
      </c>
    </row>
    <row r="41" spans="1:17" x14ac:dyDescent="0.25">
      <c r="A41" s="2" t="s">
        <v>176</v>
      </c>
      <c r="B41" s="2" t="s">
        <v>544</v>
      </c>
      <c r="C41" s="2" t="s">
        <v>176</v>
      </c>
      <c r="D41" s="2">
        <v>691321100006</v>
      </c>
      <c r="E41" s="2">
        <v>691321100006</v>
      </c>
      <c r="F41" s="2">
        <v>691321100006</v>
      </c>
      <c r="G41" s="1" t="s">
        <v>209</v>
      </c>
      <c r="H41" s="1" t="s">
        <v>414</v>
      </c>
      <c r="I41" s="4" t="s">
        <v>210</v>
      </c>
      <c r="J41" s="1" t="s">
        <v>32</v>
      </c>
      <c r="K41" s="1" t="s">
        <v>34</v>
      </c>
      <c r="L41" s="1" t="s">
        <v>20</v>
      </c>
      <c r="M41" s="1">
        <v>805</v>
      </c>
      <c r="N41" s="1" t="s">
        <v>33</v>
      </c>
      <c r="O41" s="7">
        <v>3</v>
      </c>
      <c r="P41" s="1">
        <f>Tabelle3[[#This Row],[Quantity/Board]]*4</f>
        <v>12</v>
      </c>
      <c r="Q41" s="13">
        <v>12</v>
      </c>
    </row>
    <row r="42" spans="1:17" x14ac:dyDescent="0.25">
      <c r="A42" s="2" t="s">
        <v>176</v>
      </c>
      <c r="B42" s="2" t="s">
        <v>546</v>
      </c>
      <c r="C42" s="2" t="s">
        <v>176</v>
      </c>
      <c r="D42" s="1" t="s">
        <v>212</v>
      </c>
      <c r="E42" s="2">
        <v>62000311121</v>
      </c>
      <c r="F42" s="2">
        <v>62000311121</v>
      </c>
      <c r="G42" s="1" t="s">
        <v>213</v>
      </c>
      <c r="H42" s="1" t="s">
        <v>414</v>
      </c>
      <c r="I42" s="1" t="s">
        <v>214</v>
      </c>
      <c r="J42" s="1" t="s">
        <v>32</v>
      </c>
      <c r="K42" s="1" t="s">
        <v>34</v>
      </c>
      <c r="L42" s="1" t="s">
        <v>20</v>
      </c>
      <c r="M42" s="1">
        <v>805</v>
      </c>
      <c r="N42" s="1" t="s">
        <v>33</v>
      </c>
      <c r="O42" s="7">
        <v>3</v>
      </c>
      <c r="P42" s="1">
        <f>Tabelle3[[#This Row],[Quantity/Board]]*4</f>
        <v>12</v>
      </c>
      <c r="Q42" s="13">
        <v>12</v>
      </c>
    </row>
    <row r="43" spans="1:17" x14ac:dyDescent="0.25">
      <c r="A43" s="2" t="s">
        <v>176</v>
      </c>
      <c r="B43" s="2" t="s">
        <v>540</v>
      </c>
      <c r="C43" s="2" t="s">
        <v>176</v>
      </c>
      <c r="D43" s="1" t="s">
        <v>216</v>
      </c>
      <c r="E43" s="2" t="s">
        <v>216</v>
      </c>
      <c r="F43" s="1" t="s">
        <v>217</v>
      </c>
      <c r="G43" s="1" t="s">
        <v>495</v>
      </c>
      <c r="H43" s="1" t="s">
        <v>225</v>
      </c>
      <c r="I43" s="3" t="s">
        <v>437</v>
      </c>
      <c r="O43" s="7">
        <v>2</v>
      </c>
      <c r="P43" s="1">
        <f>Tabelle3[[#This Row],[Quantity/Board]]*4</f>
        <v>8</v>
      </c>
      <c r="Q43" s="13">
        <v>10</v>
      </c>
    </row>
    <row r="44" spans="1:17" x14ac:dyDescent="0.25">
      <c r="A44" s="1" t="s">
        <v>496</v>
      </c>
      <c r="B44" s="1" t="s">
        <v>230</v>
      </c>
      <c r="C44" s="1" t="s">
        <v>231</v>
      </c>
      <c r="D44" s="1" t="s">
        <v>232</v>
      </c>
      <c r="E44" s="2">
        <v>7447709220</v>
      </c>
      <c r="F44" s="1" t="s">
        <v>233</v>
      </c>
      <c r="G44" s="1" t="s">
        <v>234</v>
      </c>
      <c r="H44" s="1" t="s">
        <v>414</v>
      </c>
      <c r="I44" s="1" t="s">
        <v>235</v>
      </c>
      <c r="J44" s="1" t="s">
        <v>19</v>
      </c>
      <c r="K44" s="1" t="s">
        <v>18</v>
      </c>
      <c r="L44" s="1" t="s">
        <v>20</v>
      </c>
      <c r="M44" s="1">
        <v>1206</v>
      </c>
      <c r="N44" s="1" t="s">
        <v>21</v>
      </c>
      <c r="O44" s="7">
        <v>1</v>
      </c>
      <c r="P44" s="1">
        <f>Tabelle3[[#This Row],[Quantity/Board]]*4</f>
        <v>4</v>
      </c>
      <c r="Q44" s="13">
        <v>4</v>
      </c>
    </row>
    <row r="45" spans="1:17" x14ac:dyDescent="0.25">
      <c r="A45" s="1" t="s">
        <v>496</v>
      </c>
      <c r="B45" s="1" t="s">
        <v>237</v>
      </c>
      <c r="C45" s="1" t="s">
        <v>238</v>
      </c>
      <c r="D45" s="1" t="s">
        <v>239</v>
      </c>
      <c r="E45" s="2">
        <v>7447709150</v>
      </c>
      <c r="F45" s="1" t="s">
        <v>233</v>
      </c>
      <c r="G45" s="1" t="s">
        <v>234</v>
      </c>
      <c r="H45" s="1" t="s">
        <v>414</v>
      </c>
      <c r="I45" s="1" t="s">
        <v>240</v>
      </c>
      <c r="J45" s="1" t="s">
        <v>19</v>
      </c>
      <c r="K45" s="1" t="s">
        <v>18</v>
      </c>
      <c r="L45" s="1" t="s">
        <v>20</v>
      </c>
      <c r="M45" s="1">
        <v>1206</v>
      </c>
      <c r="N45" s="1" t="s">
        <v>21</v>
      </c>
      <c r="O45" s="7">
        <v>1</v>
      </c>
      <c r="P45" s="1">
        <f>Tabelle3[[#This Row],[Quantity/Board]]*4</f>
        <v>4</v>
      </c>
      <c r="Q45" s="13">
        <v>4</v>
      </c>
    </row>
    <row r="46" spans="1:17" x14ac:dyDescent="0.25">
      <c r="A46" s="1" t="s">
        <v>176</v>
      </c>
      <c r="B46" s="1" t="s">
        <v>241</v>
      </c>
      <c r="C46" s="1" t="s">
        <v>176</v>
      </c>
      <c r="D46" s="1" t="s">
        <v>242</v>
      </c>
      <c r="E46" s="2" t="s">
        <v>242</v>
      </c>
      <c r="F46" s="1" t="s">
        <v>243</v>
      </c>
      <c r="G46" s="1" t="s">
        <v>450</v>
      </c>
      <c r="H46" s="1" t="s">
        <v>448</v>
      </c>
      <c r="I46" s="3" t="s">
        <v>449</v>
      </c>
      <c r="J46" s="1" t="s">
        <v>32</v>
      </c>
      <c r="K46" s="1" t="s">
        <v>34</v>
      </c>
      <c r="L46" s="1" t="s">
        <v>20</v>
      </c>
      <c r="M46" s="1">
        <v>805</v>
      </c>
      <c r="O46" s="7">
        <v>1</v>
      </c>
      <c r="P46" s="1">
        <f>Tabelle3[[#This Row],[Quantity/Board]]*4</f>
        <v>4</v>
      </c>
      <c r="Q46" s="13">
        <v>10</v>
      </c>
    </row>
    <row r="47" spans="1:17" x14ac:dyDescent="0.25">
      <c r="A47" s="1" t="s">
        <v>176</v>
      </c>
      <c r="B47" s="1" t="s">
        <v>538</v>
      </c>
      <c r="C47" s="1" t="s">
        <v>176</v>
      </c>
      <c r="D47" s="1" t="s">
        <v>245</v>
      </c>
      <c r="E47" t="s">
        <v>247</v>
      </c>
      <c r="F47" s="1" t="s">
        <v>246</v>
      </c>
      <c r="G47" s="1" t="s">
        <v>505</v>
      </c>
      <c r="H47" s="1" t="s">
        <v>415</v>
      </c>
      <c r="I47" s="3" t="s">
        <v>451</v>
      </c>
      <c r="J47" s="1" t="s">
        <v>373</v>
      </c>
      <c r="K47" s="1" t="s">
        <v>373</v>
      </c>
      <c r="L47" s="1" t="s">
        <v>20</v>
      </c>
      <c r="O47" s="7">
        <v>7</v>
      </c>
      <c r="P47" s="1">
        <f>Tabelle3[[#This Row],[Quantity/Board]]*4</f>
        <v>28</v>
      </c>
      <c r="Q47" s="13">
        <v>50</v>
      </c>
    </row>
    <row r="48" spans="1:17" x14ac:dyDescent="0.25">
      <c r="A48" s="1" t="s">
        <v>490</v>
      </c>
      <c r="B48" s="1" t="s">
        <v>254</v>
      </c>
      <c r="C48" s="1" t="s">
        <v>255</v>
      </c>
      <c r="D48" s="1" t="s">
        <v>256</v>
      </c>
      <c r="E48" s="2">
        <v>560112132019</v>
      </c>
      <c r="F48" s="1" t="s">
        <v>257</v>
      </c>
      <c r="G48" s="1" t="s">
        <v>258</v>
      </c>
      <c r="H48" s="1" t="s">
        <v>414</v>
      </c>
      <c r="I48" s="1" t="s">
        <v>259</v>
      </c>
      <c r="J48" s="1" t="s">
        <v>32</v>
      </c>
      <c r="K48" s="1" t="s">
        <v>34</v>
      </c>
      <c r="L48" s="1" t="s">
        <v>20</v>
      </c>
      <c r="M48" s="1">
        <v>805</v>
      </c>
      <c r="N48" s="1" t="s">
        <v>33</v>
      </c>
      <c r="O48" s="7">
        <v>1</v>
      </c>
      <c r="P48" s="1">
        <f>Tabelle3[[#This Row],[Quantity/Board]]*4</f>
        <v>4</v>
      </c>
      <c r="Q48" s="13">
        <v>4</v>
      </c>
    </row>
    <row r="49" spans="1:17" x14ac:dyDescent="0.25">
      <c r="A49" s="1" t="s">
        <v>490</v>
      </c>
      <c r="B49" s="1" t="s">
        <v>565</v>
      </c>
      <c r="C49" s="1" t="s">
        <v>280</v>
      </c>
      <c r="D49" s="1" t="s">
        <v>281</v>
      </c>
      <c r="E49" s="2">
        <v>560112120027</v>
      </c>
      <c r="F49" s="1" t="s">
        <v>264</v>
      </c>
      <c r="G49" s="1" t="s">
        <v>258</v>
      </c>
      <c r="H49" s="1" t="s">
        <v>414</v>
      </c>
      <c r="I49" s="1" t="s">
        <v>278</v>
      </c>
      <c r="J49" s="1" t="s">
        <v>19</v>
      </c>
      <c r="K49" s="1" t="s">
        <v>18</v>
      </c>
      <c r="L49" s="1" t="s">
        <v>20</v>
      </c>
      <c r="M49" s="1">
        <v>1206</v>
      </c>
      <c r="N49" s="1" t="s">
        <v>21</v>
      </c>
      <c r="O49" s="7">
        <v>9</v>
      </c>
      <c r="P49" s="1">
        <f>Tabelle3[[#This Row],[Quantity/Board]]*4</f>
        <v>36</v>
      </c>
      <c r="Q49" s="13">
        <v>36</v>
      </c>
    </row>
    <row r="50" spans="1:17" x14ac:dyDescent="0.25">
      <c r="A50" s="1" t="s">
        <v>490</v>
      </c>
      <c r="B50" s="1" t="s">
        <v>563</v>
      </c>
      <c r="C50" s="1" t="s">
        <v>288</v>
      </c>
      <c r="D50" s="1" t="s">
        <v>289</v>
      </c>
      <c r="E50" s="2">
        <v>560112120013</v>
      </c>
      <c r="F50" s="1" t="s">
        <v>264</v>
      </c>
      <c r="G50" s="1" t="s">
        <v>258</v>
      </c>
      <c r="H50" s="1" t="s">
        <v>414</v>
      </c>
      <c r="I50" s="1" t="s">
        <v>290</v>
      </c>
      <c r="J50" s="1" t="s">
        <v>32</v>
      </c>
      <c r="K50" s="1" t="s">
        <v>34</v>
      </c>
      <c r="L50" s="1" t="s">
        <v>20</v>
      </c>
      <c r="M50" s="1">
        <v>805</v>
      </c>
      <c r="N50" s="1" t="s">
        <v>33</v>
      </c>
      <c r="O50" s="7">
        <v>2</v>
      </c>
      <c r="P50" s="1">
        <f>Tabelle3[[#This Row],[Quantity/Board]]*4</f>
        <v>8</v>
      </c>
      <c r="Q50" s="13">
        <v>8</v>
      </c>
    </row>
    <row r="51" spans="1:17" x14ac:dyDescent="0.25">
      <c r="A51" s="1" t="s">
        <v>490</v>
      </c>
      <c r="B51" s="1" t="s">
        <v>562</v>
      </c>
      <c r="C51" s="1" t="s">
        <v>292</v>
      </c>
      <c r="D51" s="1" t="s">
        <v>293</v>
      </c>
      <c r="E51" s="2">
        <v>560112120009</v>
      </c>
      <c r="F51" s="1" t="s">
        <v>264</v>
      </c>
      <c r="G51" s="1" t="s">
        <v>258</v>
      </c>
      <c r="H51" s="1" t="s">
        <v>414</v>
      </c>
      <c r="I51" s="1" t="s">
        <v>294</v>
      </c>
      <c r="J51" s="1" t="s">
        <v>19</v>
      </c>
      <c r="K51" s="1" t="s">
        <v>18</v>
      </c>
      <c r="L51" s="1" t="s">
        <v>20</v>
      </c>
      <c r="M51" s="1">
        <v>1206</v>
      </c>
      <c r="N51" s="1" t="s">
        <v>21</v>
      </c>
      <c r="O51" s="7">
        <v>2</v>
      </c>
      <c r="P51" s="1">
        <f>Tabelle3[[#This Row],[Quantity/Board]]*4</f>
        <v>8</v>
      </c>
      <c r="Q51" s="13">
        <v>8</v>
      </c>
    </row>
    <row r="52" spans="1:17" x14ac:dyDescent="0.25">
      <c r="A52" s="1" t="s">
        <v>490</v>
      </c>
      <c r="B52" s="1" t="s">
        <v>295</v>
      </c>
      <c r="C52" s="1" t="s">
        <v>296</v>
      </c>
      <c r="D52" s="1" t="s">
        <v>297</v>
      </c>
      <c r="E52" s="2">
        <v>560112120034</v>
      </c>
      <c r="F52" s="1" t="s">
        <v>264</v>
      </c>
      <c r="G52" s="1" t="s">
        <v>258</v>
      </c>
      <c r="H52" s="1" t="s">
        <v>414</v>
      </c>
      <c r="I52" s="1" t="s">
        <v>278</v>
      </c>
      <c r="J52" s="1" t="s">
        <v>32</v>
      </c>
      <c r="K52" s="1" t="s">
        <v>34</v>
      </c>
      <c r="L52" s="1" t="s">
        <v>20</v>
      </c>
      <c r="M52" s="1">
        <v>805</v>
      </c>
      <c r="N52" s="1" t="s">
        <v>33</v>
      </c>
      <c r="O52" s="7">
        <v>1</v>
      </c>
      <c r="P52" s="1">
        <f>Tabelle3[[#This Row],[Quantity/Board]]*4</f>
        <v>4</v>
      </c>
      <c r="Q52" s="13">
        <v>4</v>
      </c>
    </row>
    <row r="53" spans="1:17" x14ac:dyDescent="0.25">
      <c r="A53" s="1" t="s">
        <v>490</v>
      </c>
      <c r="B53" s="1" t="s">
        <v>261</v>
      </c>
      <c r="C53" s="1" t="s">
        <v>262</v>
      </c>
      <c r="D53" s="1" t="s">
        <v>263</v>
      </c>
      <c r="E53" s="2">
        <v>560112120019</v>
      </c>
      <c r="F53" s="1" t="s">
        <v>264</v>
      </c>
      <c r="G53" s="1" t="s">
        <v>258</v>
      </c>
      <c r="H53" s="1" t="s">
        <v>414</v>
      </c>
      <c r="I53" s="1" t="s">
        <v>265</v>
      </c>
      <c r="J53" s="1" t="s">
        <v>32</v>
      </c>
      <c r="K53" s="1" t="s">
        <v>34</v>
      </c>
      <c r="L53" s="1" t="s">
        <v>20</v>
      </c>
      <c r="M53" s="1">
        <v>805</v>
      </c>
      <c r="N53" s="1" t="s">
        <v>33</v>
      </c>
      <c r="O53" s="7">
        <v>1</v>
      </c>
      <c r="P53" s="1">
        <f>Tabelle3[[#This Row],[Quantity/Board]]*4</f>
        <v>4</v>
      </c>
      <c r="Q53" s="13">
        <v>4</v>
      </c>
    </row>
    <row r="54" spans="1:17" x14ac:dyDescent="0.25">
      <c r="A54" s="1" t="s">
        <v>490</v>
      </c>
      <c r="B54" s="1" t="s">
        <v>560</v>
      </c>
      <c r="C54" s="1" t="s">
        <v>303</v>
      </c>
      <c r="D54" s="1" t="s">
        <v>304</v>
      </c>
      <c r="E54" s="2">
        <v>560112120001</v>
      </c>
      <c r="F54" s="1" t="s">
        <v>264</v>
      </c>
      <c r="G54" s="1" t="s">
        <v>258</v>
      </c>
      <c r="H54" s="1" t="s">
        <v>414</v>
      </c>
      <c r="I54" s="1" t="s">
        <v>305</v>
      </c>
      <c r="J54" s="1" t="s">
        <v>32</v>
      </c>
      <c r="K54" s="1" t="s">
        <v>34</v>
      </c>
      <c r="L54" s="1" t="s">
        <v>20</v>
      </c>
      <c r="M54" s="1">
        <v>805</v>
      </c>
      <c r="N54" s="1" t="s">
        <v>33</v>
      </c>
      <c r="O54" s="7">
        <v>11</v>
      </c>
      <c r="P54" s="1">
        <f>Tabelle3[[#This Row],[Quantity/Board]]*4</f>
        <v>44</v>
      </c>
      <c r="Q54" s="13">
        <v>44</v>
      </c>
    </row>
    <row r="55" spans="1:17" x14ac:dyDescent="0.25">
      <c r="A55" s="1" t="s">
        <v>490</v>
      </c>
      <c r="B55" s="1" t="s">
        <v>307</v>
      </c>
      <c r="C55" s="1" t="s">
        <v>308</v>
      </c>
      <c r="D55" s="1" t="s">
        <v>309</v>
      </c>
      <c r="E55" s="2">
        <v>560112120003</v>
      </c>
      <c r="F55" s="1" t="s">
        <v>264</v>
      </c>
      <c r="G55" s="1" t="s">
        <v>258</v>
      </c>
      <c r="H55" s="1" t="s">
        <v>414</v>
      </c>
      <c r="I55" s="1" t="s">
        <v>310</v>
      </c>
      <c r="J55" s="1" t="s">
        <v>70</v>
      </c>
      <c r="O55" s="7">
        <v>1</v>
      </c>
      <c r="P55" s="1">
        <f>Tabelle3[[#This Row],[Quantity/Board]]*4</f>
        <v>4</v>
      </c>
      <c r="Q55" s="13">
        <v>4</v>
      </c>
    </row>
    <row r="56" spans="1:17" x14ac:dyDescent="0.25">
      <c r="A56" s="1" t="s">
        <v>490</v>
      </c>
      <c r="B56" s="1" t="s">
        <v>313</v>
      </c>
      <c r="C56" s="1" t="s">
        <v>314</v>
      </c>
      <c r="D56" s="1" t="s">
        <v>315</v>
      </c>
      <c r="E56" s="2">
        <v>560112120007</v>
      </c>
      <c r="F56" s="1" t="s">
        <v>264</v>
      </c>
      <c r="G56" s="1" t="s">
        <v>258</v>
      </c>
      <c r="H56" s="1" t="s">
        <v>414</v>
      </c>
      <c r="I56" s="1" t="s">
        <v>316</v>
      </c>
      <c r="J56" s="1" t="s">
        <v>19</v>
      </c>
      <c r="K56" s="1" t="s">
        <v>18</v>
      </c>
      <c r="L56" s="1" t="s">
        <v>20</v>
      </c>
      <c r="M56" s="1">
        <v>1206</v>
      </c>
      <c r="N56" s="1" t="s">
        <v>33</v>
      </c>
      <c r="O56" s="7">
        <v>1</v>
      </c>
      <c r="P56" s="1">
        <f>Tabelle3[[#This Row],[Quantity/Board]]*4</f>
        <v>4</v>
      </c>
      <c r="Q56" s="13">
        <v>4</v>
      </c>
    </row>
    <row r="57" spans="1:17" x14ac:dyDescent="0.25">
      <c r="A57" s="1" t="s">
        <v>490</v>
      </c>
      <c r="B57" s="1" t="s">
        <v>317</v>
      </c>
      <c r="C57" s="1" t="s">
        <v>318</v>
      </c>
      <c r="D57" s="1" t="s">
        <v>319</v>
      </c>
      <c r="E57" s="2">
        <v>560112120033</v>
      </c>
      <c r="F57" s="1" t="s">
        <v>264</v>
      </c>
      <c r="G57" s="1" t="s">
        <v>258</v>
      </c>
      <c r="H57" s="1" t="s">
        <v>414</v>
      </c>
      <c r="I57" s="1" t="s">
        <v>278</v>
      </c>
      <c r="J57" s="1" t="s">
        <v>32</v>
      </c>
      <c r="K57" s="1" t="s">
        <v>34</v>
      </c>
      <c r="L57" s="1" t="s">
        <v>20</v>
      </c>
      <c r="M57" s="1">
        <v>805</v>
      </c>
      <c r="N57" s="1" t="s">
        <v>33</v>
      </c>
      <c r="O57" s="7">
        <v>1</v>
      </c>
      <c r="P57" s="1">
        <f>Tabelle3[[#This Row],[Quantity/Board]]*4</f>
        <v>4</v>
      </c>
      <c r="Q57" s="13">
        <v>4</v>
      </c>
    </row>
    <row r="58" spans="1:17" x14ac:dyDescent="0.25">
      <c r="A58" s="1" t="s">
        <v>490</v>
      </c>
      <c r="B58" s="1" t="s">
        <v>567</v>
      </c>
      <c r="C58" s="1" t="s">
        <v>267</v>
      </c>
      <c r="D58" s="1" t="s">
        <v>268</v>
      </c>
      <c r="E58" s="2">
        <v>560112132032</v>
      </c>
      <c r="F58" s="1" t="s">
        <v>257</v>
      </c>
      <c r="G58" s="1" t="s">
        <v>258</v>
      </c>
      <c r="H58" s="1" t="s">
        <v>414</v>
      </c>
      <c r="I58" s="1" t="s">
        <v>269</v>
      </c>
      <c r="J58" s="1" t="s">
        <v>32</v>
      </c>
      <c r="K58" s="1" t="s">
        <v>34</v>
      </c>
      <c r="L58" s="1" t="s">
        <v>20</v>
      </c>
      <c r="M58" s="1">
        <v>805</v>
      </c>
      <c r="N58" s="1" t="s">
        <v>33</v>
      </c>
      <c r="O58" s="7">
        <v>7</v>
      </c>
      <c r="P58" s="1">
        <f>Tabelle3[[#This Row],[Quantity/Board]]*4</f>
        <v>28</v>
      </c>
      <c r="Q58" s="13">
        <v>28</v>
      </c>
    </row>
    <row r="59" spans="1:17" x14ac:dyDescent="0.25">
      <c r="A59" s="1" t="s">
        <v>490</v>
      </c>
      <c r="B59" s="1" t="s">
        <v>564</v>
      </c>
      <c r="C59" s="1" t="s">
        <v>328</v>
      </c>
      <c r="D59" s="1" t="s">
        <v>329</v>
      </c>
      <c r="E59" s="2">
        <v>560112120023</v>
      </c>
      <c r="F59" s="1" t="s">
        <v>264</v>
      </c>
      <c r="G59" s="1" t="s">
        <v>258</v>
      </c>
      <c r="H59" s="1" t="s">
        <v>414</v>
      </c>
      <c r="I59" s="1" t="s">
        <v>330</v>
      </c>
      <c r="J59" s="1" t="s">
        <v>32</v>
      </c>
      <c r="K59" s="1" t="s">
        <v>34</v>
      </c>
      <c r="L59" s="1" t="s">
        <v>20</v>
      </c>
      <c r="M59" s="1">
        <v>805</v>
      </c>
      <c r="N59" s="1" t="s">
        <v>33</v>
      </c>
      <c r="O59" s="7">
        <v>4</v>
      </c>
      <c r="P59" s="1">
        <f>Tabelle3[[#This Row],[Quantity/Board]]*4</f>
        <v>16</v>
      </c>
      <c r="Q59" s="13">
        <v>16</v>
      </c>
    </row>
    <row r="60" spans="1:17" x14ac:dyDescent="0.25">
      <c r="A60" s="1" t="s">
        <v>490</v>
      </c>
      <c r="B60" s="1" t="s">
        <v>561</v>
      </c>
      <c r="C60" s="1" t="s">
        <v>332</v>
      </c>
      <c r="D60" s="1" t="s">
        <v>333</v>
      </c>
      <c r="E60" s="2">
        <v>560112120004</v>
      </c>
      <c r="F60" s="1" t="s">
        <v>264</v>
      </c>
      <c r="G60" s="1" t="s">
        <v>258</v>
      </c>
      <c r="H60" s="1" t="s">
        <v>414</v>
      </c>
      <c r="I60" s="1" t="s">
        <v>334</v>
      </c>
      <c r="J60" s="1" t="s">
        <v>19</v>
      </c>
      <c r="K60" s="1" t="s">
        <v>18</v>
      </c>
      <c r="L60" s="1" t="s">
        <v>20</v>
      </c>
      <c r="M60" s="1">
        <v>1206</v>
      </c>
      <c r="N60" s="1" t="s">
        <v>21</v>
      </c>
      <c r="O60" s="7">
        <v>8</v>
      </c>
      <c r="P60" s="1">
        <f>Tabelle3[[#This Row],[Quantity/Board]]*4</f>
        <v>32</v>
      </c>
      <c r="Q60" s="13">
        <v>32</v>
      </c>
    </row>
    <row r="61" spans="1:17" x14ac:dyDescent="0.25">
      <c r="A61" s="1" t="s">
        <v>176</v>
      </c>
      <c r="B61" s="1" t="s">
        <v>536</v>
      </c>
      <c r="C61" s="1" t="s">
        <v>468</v>
      </c>
      <c r="D61" s="1" t="s">
        <v>344</v>
      </c>
      <c r="E61" s="2" t="s">
        <v>346</v>
      </c>
      <c r="G61" s="1" t="s">
        <v>494</v>
      </c>
      <c r="H61" s="1" t="s">
        <v>465</v>
      </c>
      <c r="I61" s="3" t="s">
        <v>466</v>
      </c>
      <c r="J61" s="1" t="s">
        <v>32</v>
      </c>
      <c r="K61" s="1" t="s">
        <v>34</v>
      </c>
      <c r="L61" s="1" t="s">
        <v>20</v>
      </c>
      <c r="M61" s="1">
        <v>805</v>
      </c>
      <c r="O61" s="7">
        <v>2</v>
      </c>
      <c r="P61" s="1">
        <f>Tabelle3[[#This Row],[Quantity/Board]]*4</f>
        <v>8</v>
      </c>
      <c r="Q61" s="13">
        <v>10</v>
      </c>
    </row>
    <row r="62" spans="1:17" x14ac:dyDescent="0.25">
      <c r="A62" s="1" t="s">
        <v>490</v>
      </c>
      <c r="B62" s="1" t="s">
        <v>350</v>
      </c>
      <c r="C62" s="1" t="s">
        <v>351</v>
      </c>
      <c r="D62" s="1" t="s">
        <v>352</v>
      </c>
      <c r="E62" s="2">
        <v>560112120002</v>
      </c>
      <c r="F62" s="1" t="s">
        <v>264</v>
      </c>
      <c r="G62" s="1" t="s">
        <v>258</v>
      </c>
      <c r="H62" s="1" t="s">
        <v>414</v>
      </c>
      <c r="I62" s="1" t="s">
        <v>353</v>
      </c>
      <c r="J62" s="1" t="s">
        <v>19</v>
      </c>
      <c r="K62" s="1" t="s">
        <v>59</v>
      </c>
      <c r="L62" s="1" t="s">
        <v>20</v>
      </c>
      <c r="M62" s="1">
        <v>1210</v>
      </c>
      <c r="N62" s="1" t="s">
        <v>58</v>
      </c>
      <c r="O62" s="7">
        <v>1</v>
      </c>
      <c r="P62" s="1">
        <f>Tabelle3[[#This Row],[Quantity/Board]]*4</f>
        <v>4</v>
      </c>
      <c r="Q62" s="13">
        <v>4</v>
      </c>
    </row>
    <row r="63" spans="1:17" x14ac:dyDescent="0.25">
      <c r="A63" s="1" t="s">
        <v>490</v>
      </c>
      <c r="B63" s="1" t="s">
        <v>354</v>
      </c>
      <c r="C63" s="1" t="s">
        <v>355</v>
      </c>
      <c r="D63" s="1" t="s">
        <v>356</v>
      </c>
      <c r="E63" s="2">
        <v>560112120031</v>
      </c>
      <c r="F63" s="1" t="s">
        <v>264</v>
      </c>
      <c r="G63" s="1" t="s">
        <v>258</v>
      </c>
      <c r="H63" s="1" t="s">
        <v>414</v>
      </c>
      <c r="I63" s="1" t="s">
        <v>278</v>
      </c>
      <c r="J63" s="1" t="s">
        <v>19</v>
      </c>
      <c r="K63" s="1" t="s">
        <v>59</v>
      </c>
      <c r="L63" s="1" t="s">
        <v>20</v>
      </c>
      <c r="M63" s="1">
        <v>1210</v>
      </c>
      <c r="N63" s="1" t="s">
        <v>58</v>
      </c>
      <c r="O63" s="7">
        <v>1</v>
      </c>
      <c r="P63" s="1">
        <f>Tabelle3[[#This Row],[Quantity/Board]]*4</f>
        <v>4</v>
      </c>
      <c r="Q63" s="13">
        <v>4</v>
      </c>
    </row>
    <row r="64" spans="1:17" x14ac:dyDescent="0.25">
      <c r="A64" s="1" t="s">
        <v>490</v>
      </c>
      <c r="B64" s="1" t="s">
        <v>566</v>
      </c>
      <c r="C64" s="1" t="s">
        <v>276</v>
      </c>
      <c r="D64" s="1" t="s">
        <v>277</v>
      </c>
      <c r="E64" s="2">
        <v>560112120028</v>
      </c>
      <c r="F64" s="1" t="s">
        <v>264</v>
      </c>
      <c r="G64" s="1" t="s">
        <v>258</v>
      </c>
      <c r="H64" s="1" t="s">
        <v>414</v>
      </c>
      <c r="I64" s="1" t="s">
        <v>278</v>
      </c>
      <c r="J64" s="1" t="s">
        <v>32</v>
      </c>
      <c r="K64" s="1" t="s">
        <v>34</v>
      </c>
      <c r="L64" s="1" t="s">
        <v>20</v>
      </c>
      <c r="M64" s="1">
        <v>805</v>
      </c>
      <c r="N64" s="1" t="s">
        <v>33</v>
      </c>
      <c r="O64" s="7">
        <v>3</v>
      </c>
      <c r="P64" s="1">
        <f>Tabelle3[[#This Row],[Quantity/Board]]*4</f>
        <v>12</v>
      </c>
      <c r="Q64" s="13">
        <v>12</v>
      </c>
    </row>
    <row r="65" spans="1:17" x14ac:dyDescent="0.25">
      <c r="A65" s="1" t="s">
        <v>490</v>
      </c>
      <c r="B65" s="1" t="s">
        <v>559</v>
      </c>
      <c r="C65" s="1" t="s">
        <v>362</v>
      </c>
      <c r="D65" s="1" t="s">
        <v>363</v>
      </c>
      <c r="E65" s="2">
        <v>580070763001</v>
      </c>
      <c r="F65" s="1" t="s">
        <v>364</v>
      </c>
      <c r="G65" s="1" t="s">
        <v>365</v>
      </c>
      <c r="H65" s="1" t="s">
        <v>414</v>
      </c>
      <c r="I65" s="1" t="s">
        <v>366</v>
      </c>
      <c r="J65" s="1" t="s">
        <v>50</v>
      </c>
      <c r="O65" s="7">
        <v>4</v>
      </c>
      <c r="P65" s="1">
        <f>Tabelle3[[#This Row],[Quantity/Board]]*4</f>
        <v>16</v>
      </c>
      <c r="Q65" s="13">
        <v>16</v>
      </c>
    </row>
    <row r="66" spans="1:17" x14ac:dyDescent="0.25">
      <c r="A66" s="1" t="s">
        <v>176</v>
      </c>
      <c r="B66" s="1" t="s">
        <v>543</v>
      </c>
      <c r="C66" s="1" t="s">
        <v>176</v>
      </c>
      <c r="D66" s="2">
        <v>430181038816</v>
      </c>
      <c r="E66" s="2">
        <v>430181038816</v>
      </c>
      <c r="F66" s="2">
        <v>430181038816</v>
      </c>
      <c r="G66" s="1" t="s">
        <v>371</v>
      </c>
      <c r="H66" s="1" t="s">
        <v>414</v>
      </c>
      <c r="I66" s="1" t="s">
        <v>372</v>
      </c>
      <c r="J66" s="1" t="s">
        <v>19</v>
      </c>
      <c r="K66" s="1" t="s">
        <v>18</v>
      </c>
      <c r="L66" s="1" t="s">
        <v>20</v>
      </c>
      <c r="M66" s="1">
        <v>1206</v>
      </c>
      <c r="N66" s="1" t="s">
        <v>21</v>
      </c>
      <c r="O66" s="7">
        <v>2</v>
      </c>
      <c r="P66" s="1">
        <f>Tabelle3[[#This Row],[Quantity/Board]]*4</f>
        <v>8</v>
      </c>
      <c r="Q66" s="13">
        <v>8</v>
      </c>
    </row>
    <row r="67" spans="1:17" x14ac:dyDescent="0.25">
      <c r="A67" s="1" t="s">
        <v>176</v>
      </c>
      <c r="B67" s="1" t="s">
        <v>375</v>
      </c>
      <c r="C67" s="1" t="s">
        <v>176</v>
      </c>
      <c r="D67" s="1" t="s">
        <v>376</v>
      </c>
      <c r="E67" s="2" t="s">
        <v>376</v>
      </c>
      <c r="F67" s="1" t="s">
        <v>377</v>
      </c>
      <c r="G67" s="1" t="s">
        <v>489</v>
      </c>
      <c r="H67" s="1" t="s">
        <v>389</v>
      </c>
      <c r="I67" s="3" t="s">
        <v>469</v>
      </c>
      <c r="O67" s="7">
        <v>1</v>
      </c>
      <c r="P67" s="1">
        <f>Tabelle3[[#This Row],[Quantity/Board]]*4</f>
        <v>4</v>
      </c>
      <c r="Q67" s="13">
        <v>5</v>
      </c>
    </row>
    <row r="68" spans="1:17" x14ac:dyDescent="0.25">
      <c r="A68" s="1" t="s">
        <v>176</v>
      </c>
      <c r="B68" s="1" t="s">
        <v>542</v>
      </c>
      <c r="C68" s="1" t="s">
        <v>176</v>
      </c>
      <c r="D68" s="1" t="s">
        <v>398</v>
      </c>
      <c r="E68" s="2" t="s">
        <v>400</v>
      </c>
      <c r="F68" s="1" t="s">
        <v>399</v>
      </c>
      <c r="G68" s="1" t="s">
        <v>483</v>
      </c>
      <c r="H68" s="1" t="s">
        <v>389</v>
      </c>
      <c r="I68" s="3" t="s">
        <v>484</v>
      </c>
      <c r="O68" s="7">
        <v>2</v>
      </c>
      <c r="P68" s="1">
        <f>Tabelle3[[#This Row],[Quantity/Board]]*4</f>
        <v>8</v>
      </c>
      <c r="Q68" s="13">
        <v>10</v>
      </c>
    </row>
    <row r="69" spans="1:17" x14ac:dyDescent="0.25">
      <c r="A69" s="1" t="s">
        <v>176</v>
      </c>
      <c r="B69" s="1" t="s">
        <v>402</v>
      </c>
      <c r="C69" s="1" t="s">
        <v>176</v>
      </c>
      <c r="D69" s="1" t="s">
        <v>403</v>
      </c>
      <c r="E69" s="2" t="s">
        <v>405</v>
      </c>
      <c r="F69" s="1" t="s">
        <v>404</v>
      </c>
      <c r="G69" s="1" t="s">
        <v>488</v>
      </c>
      <c r="H69" s="1" t="s">
        <v>389</v>
      </c>
      <c r="I69" s="3" t="s">
        <v>485</v>
      </c>
      <c r="O69" s="7">
        <v>1</v>
      </c>
      <c r="P69" s="1">
        <f>Tabelle3[[#This Row],[Quantity/Board]]*4</f>
        <v>4</v>
      </c>
      <c r="Q69" s="13">
        <v>5</v>
      </c>
    </row>
    <row r="70" spans="1:17" x14ac:dyDescent="0.25">
      <c r="A70" s="1" t="s">
        <v>176</v>
      </c>
      <c r="B70" s="1" t="s">
        <v>537</v>
      </c>
      <c r="C70" s="1" t="s">
        <v>176</v>
      </c>
      <c r="D70" s="1" t="s">
        <v>379</v>
      </c>
      <c r="E70" t="s">
        <v>379</v>
      </c>
      <c r="F70" s="1" t="s">
        <v>380</v>
      </c>
      <c r="G70" s="1" t="s">
        <v>493</v>
      </c>
      <c r="H70" s="1" t="s">
        <v>415</v>
      </c>
      <c r="I70" s="3" t="s">
        <v>473</v>
      </c>
      <c r="J70" s="1" t="s">
        <v>32</v>
      </c>
      <c r="K70" s="1" t="s">
        <v>34</v>
      </c>
      <c r="L70" s="1" t="s">
        <v>20</v>
      </c>
      <c r="M70" s="1">
        <v>805</v>
      </c>
      <c r="O70" s="7">
        <v>3</v>
      </c>
      <c r="P70" s="1">
        <f>Tabelle3[[#This Row],[Quantity/Board]]*4</f>
        <v>12</v>
      </c>
      <c r="Q70" s="13">
        <v>15</v>
      </c>
    </row>
    <row r="71" spans="1:17" x14ac:dyDescent="0.25">
      <c r="A71" s="1" t="s">
        <v>176</v>
      </c>
      <c r="B71" s="1" t="s">
        <v>383</v>
      </c>
      <c r="C71" s="1" t="s">
        <v>176</v>
      </c>
      <c r="D71" s="1" t="s">
        <v>384</v>
      </c>
      <c r="E71" t="s">
        <v>477</v>
      </c>
      <c r="F71" s="1" t="s">
        <v>385</v>
      </c>
      <c r="G71" s="1" t="s">
        <v>474</v>
      </c>
      <c r="H71" s="1" t="s">
        <v>475</v>
      </c>
      <c r="I71" s="3" t="s">
        <v>476</v>
      </c>
      <c r="O71" s="7">
        <v>1</v>
      </c>
      <c r="P71" s="1">
        <f>Tabelle3[[#This Row],[Quantity/Board]]*4</f>
        <v>4</v>
      </c>
      <c r="Q71" s="13">
        <v>10</v>
      </c>
    </row>
    <row r="72" spans="1:17" x14ac:dyDescent="0.25">
      <c r="A72" s="1" t="s">
        <v>176</v>
      </c>
      <c r="B72" s="1" t="s">
        <v>541</v>
      </c>
      <c r="C72" s="1" t="s">
        <v>176</v>
      </c>
      <c r="D72" s="1" t="s">
        <v>387</v>
      </c>
      <c r="E72" s="2" t="s">
        <v>390</v>
      </c>
      <c r="F72" s="1" t="s">
        <v>388</v>
      </c>
      <c r="G72" s="1" t="s">
        <v>478</v>
      </c>
      <c r="H72" s="1" t="s">
        <v>389</v>
      </c>
      <c r="I72" s="3" t="s">
        <v>479</v>
      </c>
      <c r="L72" s="1" t="s">
        <v>20</v>
      </c>
      <c r="O72" s="7">
        <v>4</v>
      </c>
      <c r="P72" s="1">
        <f>Tabelle3[[#This Row],[Quantity/Board]]*4</f>
        <v>16</v>
      </c>
      <c r="Q72" s="13">
        <v>20</v>
      </c>
    </row>
    <row r="73" spans="1:17" x14ac:dyDescent="0.25">
      <c r="A73" s="1" t="s">
        <v>176</v>
      </c>
      <c r="B73" s="1" t="s">
        <v>391</v>
      </c>
      <c r="C73" s="1" t="s">
        <v>176</v>
      </c>
      <c r="D73" s="1" t="s">
        <v>392</v>
      </c>
      <c r="E73" t="s">
        <v>392</v>
      </c>
      <c r="F73" s="1" t="s">
        <v>393</v>
      </c>
      <c r="G73" s="1" t="s">
        <v>480</v>
      </c>
      <c r="H73" s="1" t="s">
        <v>415</v>
      </c>
      <c r="I73" s="3" t="s">
        <v>392</v>
      </c>
      <c r="J73" s="1" t="s">
        <v>32</v>
      </c>
      <c r="K73" s="1" t="s">
        <v>34</v>
      </c>
      <c r="L73" s="1" t="s">
        <v>20</v>
      </c>
      <c r="M73" s="1">
        <v>805</v>
      </c>
      <c r="O73" s="7">
        <v>1</v>
      </c>
      <c r="P73" s="1">
        <f>Tabelle3[[#This Row],[Quantity/Board]]*4</f>
        <v>4</v>
      </c>
      <c r="Q73" s="13">
        <v>5</v>
      </c>
    </row>
    <row r="74" spans="1:17" x14ac:dyDescent="0.25">
      <c r="E74" s="2"/>
      <c r="I74" s="11"/>
      <c r="O74" s="7">
        <f>SUM(Tabelle3[Quantity/Board])</f>
        <v>231</v>
      </c>
    </row>
  </sheetData>
  <hyperlinks>
    <hyperlink ref="I36" r:id="rId1" display="https://www.we-online.com/components/products/datasheet/691219610002.pdf" xr:uid="{448CB952-1B4C-4ACF-AC64-E86D8E8C55E3}"/>
    <hyperlink ref="I39" r:id="rId2" display="https://www.we-online.com/components/products/datasheet/691219610003.pdf" xr:uid="{598107E1-B168-4A42-8701-984637360600}"/>
    <hyperlink ref="I41" r:id="rId3" xr:uid="{CE3725C9-BC81-48BF-85A1-3249598E2E14}"/>
    <hyperlink ref="I21" r:id="rId4" display="https://www.onsemi.com/pdf/datasheet/bzx84c2v4lt1-d.pdf" xr:uid="{8BF71AC2-E566-41F0-A40C-C4ED3EFF5EFF}"/>
    <hyperlink ref="I13" r:id="rId5" display="https://www.infineon.com/assets/row/public/documents/24/49/infineon-irf100p218-datasheet-en.pdf" xr:uid="{C73E79E0-5B3D-41BF-AA89-C9A05B3CF08F}"/>
    <hyperlink ref="I25" r:id="rId6" display="https://www.infineon.com/assets/row/public/documents/24/49/infineon-irf100p218-datasheet-en.pdf" xr:uid="{605680E5-D393-4FF1-ADB4-DC72EC8B7D87}"/>
    <hyperlink ref="I32" r:id="rId7" xr:uid="{FF9B8D1A-AE01-4822-9F0F-BA9D27515F9F}"/>
    <hyperlink ref="I73" r:id="rId8" display="https://www.infineon.com/assets/row/public/documents/24/49/infineon-1edl8011-datasheet-en.pdf" xr:uid="{7782B2C9-E1F1-4AA7-BAD4-0E9E413F86F9}"/>
    <hyperlink ref="I70" r:id="rId9" display="https://www.infineon.com/assets/row/public/documents/60/49/infineon-2ed2304s06f-datasheet-en.pdf" xr:uid="{E68B6549-EA32-4B5C-8015-EC36A8A4C4F2}"/>
    <hyperlink ref="I61" r:id="rId10" display="https://www.bourns.com/docs/Product-Datasheets/3386.pdf" xr:uid="{59159170-CC16-44D0-81E0-6308BAC6EA37}"/>
    <hyperlink ref="I8" r:id="rId11" display="https://docs.rs-online.com/3b50/A700000010244389.pdf" xr:uid="{1C864F47-C41D-4831-ABC8-6EA02EE245C7}"/>
    <hyperlink ref="I46" r:id="rId12" display="https://www.tdk-electronics.tdk.com/inf/50/db/ntc/NTC_SMD_Standard_series_0805.pdf" xr:uid="{67B103C8-357D-44C0-99BE-BDFCBDFDF365}"/>
    <hyperlink ref="I31" r:id="rId13" display="https://www.onsemi.com/pdf/datasheet/bzx84c2v4lt1-d.pdf" xr:uid="{A7D80019-6BDF-4F6A-B111-70DF43F2D3B3}"/>
    <hyperlink ref="I43" r:id="rId14" location="distributorinfo" display="https://www.samtec.com/de/products/erf8-040-05.0-l-dv-l-k-tr - distributorinfo" xr:uid="{FD17958B-E4BA-484A-9DA0-2EDC82E41517}"/>
    <hyperlink ref="I37" r:id="rId15" display="https://www.samtec.com/de/products/hsec8-160-01-l-dv-a-bl" xr:uid="{D16D8276-6E20-40E6-A4A4-304B45C135AF}"/>
    <hyperlink ref="I72" r:id="rId16" display="https://www.ti.com/lit/ds/symlink/ina240.pdf?ts=1753933408750" xr:uid="{0728A479-D7D6-4D1E-86BF-875D7DD0DA5C}"/>
    <hyperlink ref="I47" r:id="rId17" display="https://www.infineon.com/assets/row/public/documents/24/49/infineon-irf100p218-datasheet-en.pdf" xr:uid="{232464B1-D6CB-4FB7-A4F6-BAFECD290F03}"/>
    <hyperlink ref="I67" r:id="rId18" display="https://www.ti.com/lit/ds/symlink/lm5013.pdf?ts=1753887799318&amp;ref_url=https%253A%252F%252Fwww.ti.com%252Fpower-management%252Facdc-dcdc-converters%252Fproducts.html" xr:uid="{EC46E305-500B-477D-81A5-335A0741DED5}"/>
    <hyperlink ref="I71" r:id="rId19" display="https://docs.rs-online.com/9871/0900766b8126d336.pdf" xr:uid="{E077BC50-958B-4D2C-A773-82488B56F91B}"/>
    <hyperlink ref="I33" r:id="rId20" display="https://www.infineon.com/assets/row/public/documents/10/49/infineon-tls4125d0ep-v50-datasheet-en.pdf" xr:uid="{8CF92793-01F5-499A-835E-A93492AA1433}"/>
    <hyperlink ref="I35" r:id="rId21" display="https://www.infineon.com/assets/row/public/documents/10/49/infineon-tls208d1-ds-en.pdf" xr:uid="{6F92EA88-5021-4275-991E-F44ED3B33BFA}"/>
    <hyperlink ref="I34" r:id="rId22" display="https://www.infineon.com/assets/row/public/documents/10/49/infineon-tls208d1-ds-en.pdf" xr:uid="{4923955B-C466-499A-BD78-83F1B27CFB94}"/>
    <hyperlink ref="I69" r:id="rId23" display="https://www.ti.com/lit/ds/symlink/txu0104.pdf?ts=1753915550282&amp;ref_url=https%253A%252F%252Fwww.ti.com%252Fproduct-category%252Flogic-voltage-translation%252Fvoltage-translators-level-shifters%252Fvoltage-translators%252Fproducts.html" xr:uid="{69F2979D-AAA9-4FD7-B538-6329C3D7DBEA}"/>
    <hyperlink ref="I68" r:id="rId24" display="https://www.ti.com/lit/ds/symlink/txu0304.pdf?ts=1753955427569&amp;ref_url=https%253A%252F%252Fwww.ti.com%252Fproduct%252FTXU0304%252Fpart-details%252FTXU0304DTRR" xr:uid="{B8699B68-3193-462C-B9BA-5190387EE9D3}"/>
    <hyperlink ref="I11" r:id="rId25" location="60800213421" display="https://www.we-online.com/en/components/products/PHD_2_00_JUMPER_W_TEST_POINT_60800213421 - 60800213421" xr:uid="{99202D60-D7CC-45CA-9F72-8982BD6CAED3}"/>
    <hyperlink ref="I9" r:id="rId26" display="https://www.we-online.com/de/components/products/TBL_3_50_3611_VERTICAL_69136110000X" xr:uid="{6896ED3C-660F-45B1-8BC3-6A7EF0014192}"/>
    <hyperlink ref="I10" r:id="rId27" display="https://www.we-online.com/de/components/products/TBL_3_50_3611_VERTICAL_69136110000X" xr:uid="{7149C5C4-B343-4983-9AE6-B0B22741E74A}"/>
    <hyperlink ref="I12" r:id="rId28" location="971120365" display="https://www.we-online.com/en/components/products/SPAIE_PLASTIC_SPACER_STUD_METRIC_INTERNAL_EXTERNAL - 971120365" xr:uid="{D66C95B5-D61A-4C9C-8C03-BE3DAA1516FD}"/>
    <hyperlink ref="I6" r:id="rId29" display="https://www.infineon.com/evaluation-board/KIT-PSC3M5-CC1" xr:uid="{110CCDFA-4599-46FE-8DDF-F01A3CE5FDB3}"/>
    <hyperlink ref="I5" r:id="rId30" display="https://www.digikey.at/en/products/detail/bergquist/SP400-0-007-00-104/529921" xr:uid="{5BD5F4BF-418F-442B-AB35-3B7EF53FEECC}"/>
  </hyperlinks>
  <pageMargins left="0.25" right="0.25" top="0.75" bottom="0.75" header="0.3" footer="0.3"/>
  <pageSetup paperSize="9" scale="39" orientation="landscape" r:id="rId31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8268-2945-4A1C-9CA6-8871F7B5E219}">
  <dimension ref="A1:I59"/>
  <sheetViews>
    <sheetView zoomScale="87" zoomScaleNormal="100" workbookViewId="0">
      <selection activeCell="G20" sqref="G20"/>
    </sheetView>
  </sheetViews>
  <sheetFormatPr defaultColWidth="11.5703125" defaultRowHeight="15" x14ac:dyDescent="0.25"/>
  <cols>
    <col min="2" max="2" width="10.28515625" bestFit="1" customWidth="1"/>
    <col min="3" max="3" width="44.5703125" bestFit="1" customWidth="1"/>
    <col min="4" max="4" width="18.42578125" bestFit="1" customWidth="1"/>
    <col min="5" max="5" width="84.28515625" hidden="1" customWidth="1"/>
    <col min="6" max="6" width="23.28515625" bestFit="1" customWidth="1"/>
    <col min="7" max="7" width="102.5703125" bestFit="1" customWidth="1"/>
    <col min="8" max="8" width="18.5703125" style="7" bestFit="1" customWidth="1"/>
    <col min="9" max="9" width="13.7109375" style="7" bestFit="1" customWidth="1"/>
  </cols>
  <sheetData>
    <row r="1" spans="1:9" s="5" customFormat="1" x14ac:dyDescent="0.25">
      <c r="A1" s="5" t="s">
        <v>0</v>
      </c>
      <c r="B1" s="5" t="s">
        <v>1</v>
      </c>
      <c r="C1" s="5" t="s">
        <v>2</v>
      </c>
      <c r="D1" s="6" t="s">
        <v>9</v>
      </c>
      <c r="E1" s="5" t="s">
        <v>4</v>
      </c>
      <c r="F1" s="5" t="s">
        <v>413</v>
      </c>
      <c r="G1" s="5" t="s">
        <v>5</v>
      </c>
      <c r="H1" s="5" t="s">
        <v>518</v>
      </c>
      <c r="I1" s="5" t="s">
        <v>519</v>
      </c>
    </row>
    <row r="2" spans="1:9" s="1" customFormat="1" x14ac:dyDescent="0.25">
      <c r="A2" s="1" t="s">
        <v>176</v>
      </c>
      <c r="B2" s="1" t="s">
        <v>176</v>
      </c>
      <c r="C2" s="1" t="s">
        <v>392</v>
      </c>
      <c r="D2" t="s">
        <v>392</v>
      </c>
      <c r="E2" s="1" t="s">
        <v>480</v>
      </c>
      <c r="F2" s="1" t="s">
        <v>415</v>
      </c>
      <c r="G2" s="3" t="s">
        <v>392</v>
      </c>
      <c r="H2" s="7">
        <v>1</v>
      </c>
      <c r="I2" s="7">
        <v>4</v>
      </c>
    </row>
    <row r="3" spans="1:9" s="1" customFormat="1" x14ac:dyDescent="0.25">
      <c r="A3" s="1" t="s">
        <v>176</v>
      </c>
      <c r="B3" s="1" t="s">
        <v>176</v>
      </c>
      <c r="C3" s="1" t="s">
        <v>379</v>
      </c>
      <c r="D3" t="s">
        <v>379</v>
      </c>
      <c r="E3" s="1" t="s">
        <v>493</v>
      </c>
      <c r="F3" s="1" t="s">
        <v>415</v>
      </c>
      <c r="G3" s="3" t="s">
        <v>473</v>
      </c>
      <c r="H3" s="7">
        <v>3</v>
      </c>
      <c r="I3" s="7">
        <v>12</v>
      </c>
    </row>
    <row r="4" spans="1:9" s="1" customFormat="1" x14ac:dyDescent="0.25">
      <c r="A4" s="1" t="s">
        <v>176</v>
      </c>
      <c r="B4" s="1" t="s">
        <v>176</v>
      </c>
      <c r="C4" s="1" t="s">
        <v>507</v>
      </c>
      <c r="D4" s="2" t="s">
        <v>517</v>
      </c>
      <c r="E4" s="1" t="s">
        <v>507</v>
      </c>
      <c r="F4" s="1" t="s">
        <v>415</v>
      </c>
      <c r="G4" s="3" t="s">
        <v>515</v>
      </c>
      <c r="H4" s="7">
        <v>1</v>
      </c>
      <c r="I4" s="7">
        <v>1</v>
      </c>
    </row>
    <row r="5" spans="1:9" s="1" customFormat="1" x14ac:dyDescent="0.25">
      <c r="A5" s="1" t="s">
        <v>176</v>
      </c>
      <c r="B5" s="1" t="s">
        <v>176</v>
      </c>
      <c r="C5" s="1" t="s">
        <v>245</v>
      </c>
      <c r="D5" t="s">
        <v>247</v>
      </c>
      <c r="E5" s="1" t="s">
        <v>505</v>
      </c>
      <c r="F5" s="1" t="s">
        <v>415</v>
      </c>
      <c r="G5" s="3" t="s">
        <v>451</v>
      </c>
      <c r="H5" s="7">
        <v>7</v>
      </c>
      <c r="I5" s="7">
        <v>28</v>
      </c>
    </row>
    <row r="6" spans="1:9" s="1" customFormat="1" x14ac:dyDescent="0.25">
      <c r="A6" s="1" t="s">
        <v>176</v>
      </c>
      <c r="B6" s="1" t="s">
        <v>176</v>
      </c>
      <c r="C6" s="1" t="s">
        <v>506</v>
      </c>
      <c r="D6" s="2" t="s">
        <v>176</v>
      </c>
      <c r="E6" s="1" t="s">
        <v>506</v>
      </c>
      <c r="F6" s="1" t="s">
        <v>415</v>
      </c>
      <c r="G6" s="4"/>
      <c r="H6" s="7">
        <v>1</v>
      </c>
      <c r="I6" s="7">
        <v>1</v>
      </c>
    </row>
    <row r="7" spans="1:9" s="1" customFormat="1" x14ac:dyDescent="0.25">
      <c r="A7" s="1" t="s">
        <v>176</v>
      </c>
      <c r="B7" s="1" t="s">
        <v>176</v>
      </c>
      <c r="C7" s="1" t="s">
        <v>192</v>
      </c>
      <c r="D7" s="2" t="s">
        <v>192</v>
      </c>
      <c r="E7" s="1" t="s">
        <v>481</v>
      </c>
      <c r="F7" s="1" t="s">
        <v>415</v>
      </c>
      <c r="G7" s="3" t="s">
        <v>424</v>
      </c>
      <c r="H7" s="7">
        <v>1</v>
      </c>
      <c r="I7" s="7">
        <v>4</v>
      </c>
    </row>
    <row r="8" spans="1:9" s="1" customFormat="1" x14ac:dyDescent="0.25">
      <c r="A8" s="1" t="s">
        <v>176</v>
      </c>
      <c r="B8" s="1" t="s">
        <v>176</v>
      </c>
      <c r="C8" s="1" t="s">
        <v>195</v>
      </c>
      <c r="D8" s="2" t="s">
        <v>425</v>
      </c>
      <c r="E8" s="1" t="s">
        <v>482</v>
      </c>
      <c r="F8" s="1" t="s">
        <v>415</v>
      </c>
      <c r="G8" s="3" t="s">
        <v>424</v>
      </c>
      <c r="H8" s="7">
        <v>1</v>
      </c>
      <c r="I8" s="7">
        <v>4</v>
      </c>
    </row>
    <row r="9" spans="1:9" s="1" customFormat="1" x14ac:dyDescent="0.25">
      <c r="A9" s="1" t="s">
        <v>176</v>
      </c>
      <c r="B9" s="1" t="s">
        <v>176</v>
      </c>
      <c r="C9" s="1" t="s">
        <v>189</v>
      </c>
      <c r="D9" t="s">
        <v>422</v>
      </c>
      <c r="E9" s="1" t="s">
        <v>423</v>
      </c>
      <c r="F9" s="1" t="s">
        <v>415</v>
      </c>
      <c r="G9" s="3" t="s">
        <v>421</v>
      </c>
      <c r="H9" s="7">
        <v>1</v>
      </c>
      <c r="I9" s="7">
        <v>4</v>
      </c>
    </row>
    <row r="10" spans="1:9" s="1" customFormat="1" x14ac:dyDescent="0.25">
      <c r="A10" s="1" t="s">
        <v>176</v>
      </c>
      <c r="B10" s="1" t="s">
        <v>176</v>
      </c>
      <c r="C10" s="2">
        <v>430181038816</v>
      </c>
      <c r="D10" s="2">
        <v>430181038816</v>
      </c>
      <c r="E10" s="1" t="s">
        <v>371</v>
      </c>
      <c r="F10" s="1" t="s">
        <v>414</v>
      </c>
      <c r="G10" s="1" t="s">
        <v>372</v>
      </c>
      <c r="H10" s="7">
        <v>2</v>
      </c>
      <c r="I10" s="7">
        <v>8</v>
      </c>
    </row>
    <row r="11" spans="1:9" s="1" customFormat="1" x14ac:dyDescent="0.25">
      <c r="A11" s="2" t="s">
        <v>176</v>
      </c>
      <c r="B11" s="2" t="s">
        <v>176</v>
      </c>
      <c r="C11" s="2">
        <v>691321100004</v>
      </c>
      <c r="D11" s="2">
        <v>691321100004</v>
      </c>
      <c r="E11" s="1" t="s">
        <v>446</v>
      </c>
      <c r="F11" s="1" t="s">
        <v>414</v>
      </c>
      <c r="G11" s="1" t="s">
        <v>228</v>
      </c>
      <c r="H11" s="7">
        <v>1</v>
      </c>
      <c r="I11" s="7">
        <v>4</v>
      </c>
    </row>
    <row r="12" spans="1:9" s="1" customFormat="1" x14ac:dyDescent="0.25">
      <c r="A12" s="2" t="s">
        <v>176</v>
      </c>
      <c r="B12" s="2" t="s">
        <v>176</v>
      </c>
      <c r="C12" s="2">
        <v>691321100006</v>
      </c>
      <c r="D12" s="2">
        <v>691321100006</v>
      </c>
      <c r="E12" s="1" t="s">
        <v>209</v>
      </c>
      <c r="F12" s="1" t="s">
        <v>414</v>
      </c>
      <c r="G12" s="4" t="s">
        <v>210</v>
      </c>
      <c r="H12" s="7">
        <v>3</v>
      </c>
      <c r="I12" s="7">
        <v>12</v>
      </c>
    </row>
    <row r="13" spans="1:9" s="1" customFormat="1" x14ac:dyDescent="0.25">
      <c r="A13" s="1" t="s">
        <v>176</v>
      </c>
      <c r="B13" s="1" t="s">
        <v>176</v>
      </c>
      <c r="C13" s="1" t="s">
        <v>204</v>
      </c>
      <c r="D13" s="2">
        <v>61300611121</v>
      </c>
      <c r="E13" s="1" t="s">
        <v>205</v>
      </c>
      <c r="F13" s="1" t="s">
        <v>414</v>
      </c>
      <c r="G13" s="1" t="s">
        <v>206</v>
      </c>
      <c r="H13" s="7">
        <v>2</v>
      </c>
      <c r="I13" s="7">
        <v>8</v>
      </c>
    </row>
    <row r="14" spans="1:9" s="1" customFormat="1" x14ac:dyDescent="0.25">
      <c r="A14" s="2" t="s">
        <v>176</v>
      </c>
      <c r="B14" s="2" t="s">
        <v>176</v>
      </c>
      <c r="C14" s="1" t="s">
        <v>212</v>
      </c>
      <c r="D14" s="2">
        <v>62000311121</v>
      </c>
      <c r="E14" s="1" t="s">
        <v>213</v>
      </c>
      <c r="F14" s="1" t="s">
        <v>414</v>
      </c>
      <c r="G14" s="1" t="s">
        <v>214</v>
      </c>
      <c r="H14" s="7">
        <v>3</v>
      </c>
      <c r="I14" s="7">
        <v>12</v>
      </c>
    </row>
    <row r="15" spans="1:9" s="1" customFormat="1" x14ac:dyDescent="0.25">
      <c r="A15" s="1" t="s">
        <v>176</v>
      </c>
      <c r="B15" s="1" t="s">
        <v>176</v>
      </c>
      <c r="C15" s="1" t="s">
        <v>202</v>
      </c>
      <c r="D15" s="2">
        <v>691219610003</v>
      </c>
      <c r="E15" s="1" t="s">
        <v>431</v>
      </c>
      <c r="F15" s="1" t="s">
        <v>414</v>
      </c>
      <c r="G15" s="3" t="s">
        <v>430</v>
      </c>
      <c r="H15" s="7">
        <v>1</v>
      </c>
      <c r="I15" s="7">
        <v>4</v>
      </c>
    </row>
    <row r="16" spans="1:9" s="1" customFormat="1" x14ac:dyDescent="0.25">
      <c r="A16" s="1" t="s">
        <v>176</v>
      </c>
      <c r="B16" s="1" t="s">
        <v>176</v>
      </c>
      <c r="C16" s="1" t="s">
        <v>509</v>
      </c>
      <c r="D16" s="2">
        <v>691361100004</v>
      </c>
      <c r="E16" s="1" t="s">
        <v>500</v>
      </c>
      <c r="F16" s="1" t="s">
        <v>414</v>
      </c>
      <c r="G16" s="3" t="s">
        <v>501</v>
      </c>
      <c r="H16" s="7">
        <v>1</v>
      </c>
      <c r="I16" s="7">
        <v>4</v>
      </c>
    </row>
    <row r="17" spans="1:9" s="1" customFormat="1" x14ac:dyDescent="0.25">
      <c r="A17" s="1" t="s">
        <v>176</v>
      </c>
      <c r="B17" s="1" t="s">
        <v>176</v>
      </c>
      <c r="C17" s="1" t="s">
        <v>510</v>
      </c>
      <c r="D17" s="2">
        <v>691361100006</v>
      </c>
      <c r="E17" s="1" t="s">
        <v>500</v>
      </c>
      <c r="F17" s="1" t="s">
        <v>414</v>
      </c>
      <c r="G17" s="3" t="s">
        <v>501</v>
      </c>
      <c r="H17" s="7">
        <v>3</v>
      </c>
      <c r="I17" s="7">
        <v>12</v>
      </c>
    </row>
    <row r="18" spans="1:9" s="1" customFormat="1" x14ac:dyDescent="0.25">
      <c r="A18" s="1" t="s">
        <v>176</v>
      </c>
      <c r="B18" s="1" t="s">
        <v>176</v>
      </c>
      <c r="C18" s="1" t="s">
        <v>497</v>
      </c>
      <c r="D18" s="2">
        <v>60800213421</v>
      </c>
      <c r="E18" s="1" t="s">
        <v>498</v>
      </c>
      <c r="F18" s="1" t="s">
        <v>414</v>
      </c>
      <c r="G18" s="3" t="s">
        <v>499</v>
      </c>
      <c r="H18" s="7">
        <v>3</v>
      </c>
      <c r="I18" s="7">
        <v>12</v>
      </c>
    </row>
    <row r="19" spans="1:9" s="1" customFormat="1" x14ac:dyDescent="0.25">
      <c r="A19" s="1" t="s">
        <v>176</v>
      </c>
      <c r="B19" s="1" t="s">
        <v>176</v>
      </c>
      <c r="C19" s="1" t="s">
        <v>504</v>
      </c>
      <c r="D19" s="2">
        <v>971120365</v>
      </c>
      <c r="E19" s="1" t="s">
        <v>502</v>
      </c>
      <c r="F19" s="1" t="s">
        <v>414</v>
      </c>
      <c r="G19" s="3" t="s">
        <v>503</v>
      </c>
      <c r="H19" s="7">
        <v>4</v>
      </c>
      <c r="I19" s="7">
        <v>16</v>
      </c>
    </row>
    <row r="20" spans="1:9" s="1" customFormat="1" x14ac:dyDescent="0.25">
      <c r="A20" s="1" t="s">
        <v>176</v>
      </c>
      <c r="B20" s="1" t="s">
        <v>176</v>
      </c>
      <c r="C20" s="1" t="s">
        <v>200</v>
      </c>
      <c r="D20" s="2">
        <v>691219610002</v>
      </c>
      <c r="E20" s="1" t="s">
        <v>432</v>
      </c>
      <c r="F20" s="1" t="s">
        <v>414</v>
      </c>
      <c r="G20" s="3" t="s">
        <v>430</v>
      </c>
      <c r="H20" s="7">
        <v>1</v>
      </c>
      <c r="I20" s="7">
        <v>4</v>
      </c>
    </row>
    <row r="21" spans="1:9" s="1" customFormat="1" x14ac:dyDescent="0.25">
      <c r="A21" s="1" t="s">
        <v>491</v>
      </c>
      <c r="B21" s="1" t="s">
        <v>66</v>
      </c>
      <c r="C21" s="1" t="s">
        <v>67</v>
      </c>
      <c r="D21" s="2">
        <v>860040875005</v>
      </c>
      <c r="E21" s="1" t="s">
        <v>48</v>
      </c>
      <c r="F21" s="1" t="s">
        <v>414</v>
      </c>
      <c r="G21" s="4" t="s">
        <v>69</v>
      </c>
      <c r="H21" s="7">
        <v>3</v>
      </c>
      <c r="I21" s="7">
        <v>12</v>
      </c>
    </row>
    <row r="22" spans="1:9" s="1" customFormat="1" x14ac:dyDescent="0.25">
      <c r="A22" s="1" t="s">
        <v>491</v>
      </c>
      <c r="B22" s="1" t="s">
        <v>73</v>
      </c>
      <c r="C22" s="1" t="s">
        <v>74</v>
      </c>
      <c r="D22" s="2">
        <v>860040673002</v>
      </c>
      <c r="E22" s="1" t="s">
        <v>48</v>
      </c>
      <c r="F22" s="1" t="s">
        <v>414</v>
      </c>
      <c r="G22" s="1" t="s">
        <v>76</v>
      </c>
      <c r="H22" s="7">
        <v>1</v>
      </c>
      <c r="I22" s="7">
        <v>4</v>
      </c>
    </row>
    <row r="23" spans="1:9" s="1" customFormat="1" x14ac:dyDescent="0.25">
      <c r="A23" s="1" t="s">
        <v>491</v>
      </c>
      <c r="B23" s="1" t="s">
        <v>45</v>
      </c>
      <c r="C23" s="1" t="s">
        <v>46</v>
      </c>
      <c r="D23" s="2">
        <v>860040874001</v>
      </c>
      <c r="E23" s="1" t="s">
        <v>48</v>
      </c>
      <c r="F23" s="1" t="s">
        <v>414</v>
      </c>
      <c r="G23" s="1" t="s">
        <v>49</v>
      </c>
      <c r="H23" s="7">
        <v>9</v>
      </c>
      <c r="I23" s="7">
        <v>36</v>
      </c>
    </row>
    <row r="24" spans="1:9" s="1" customFormat="1" x14ac:dyDescent="0.25">
      <c r="A24" s="1" t="s">
        <v>491</v>
      </c>
      <c r="B24" s="1" t="s">
        <v>79</v>
      </c>
      <c r="C24" s="1" t="s">
        <v>80</v>
      </c>
      <c r="D24" s="2">
        <v>885012007091</v>
      </c>
      <c r="E24" s="1" t="s">
        <v>25</v>
      </c>
      <c r="F24" s="1" t="s">
        <v>414</v>
      </c>
      <c r="G24" s="1" t="s">
        <v>82</v>
      </c>
      <c r="H24" s="7">
        <v>1</v>
      </c>
      <c r="I24" s="7">
        <v>4</v>
      </c>
    </row>
    <row r="25" spans="1:9" s="1" customFormat="1" x14ac:dyDescent="0.25">
      <c r="A25" s="1" t="s">
        <v>491</v>
      </c>
      <c r="B25" s="1" t="s">
        <v>98</v>
      </c>
      <c r="C25" s="1" t="s">
        <v>99</v>
      </c>
      <c r="D25" s="2">
        <v>885012007092</v>
      </c>
      <c r="E25" s="1" t="s">
        <v>25</v>
      </c>
      <c r="F25" s="1" t="s">
        <v>414</v>
      </c>
      <c r="G25" s="1" t="s">
        <v>100</v>
      </c>
      <c r="H25" s="7">
        <v>2</v>
      </c>
      <c r="I25" s="7">
        <v>8</v>
      </c>
    </row>
    <row r="26" spans="1:9" s="1" customFormat="1" x14ac:dyDescent="0.25">
      <c r="A26" s="1" t="s">
        <v>491</v>
      </c>
      <c r="B26" s="1" t="s">
        <v>79</v>
      </c>
      <c r="C26" s="1" t="s">
        <v>132</v>
      </c>
      <c r="D26" s="2">
        <v>885012207119</v>
      </c>
      <c r="E26" s="1" t="s">
        <v>25</v>
      </c>
      <c r="F26" s="1" t="s">
        <v>414</v>
      </c>
      <c r="G26" s="1" t="s">
        <v>133</v>
      </c>
      <c r="H26" s="7">
        <v>5</v>
      </c>
      <c r="I26" s="7">
        <v>20</v>
      </c>
    </row>
    <row r="27" spans="1:9" s="1" customFormat="1" x14ac:dyDescent="0.25">
      <c r="A27" s="1" t="s">
        <v>491</v>
      </c>
      <c r="B27" s="1" t="s">
        <v>146</v>
      </c>
      <c r="C27" s="1" t="s">
        <v>147</v>
      </c>
      <c r="D27" s="2">
        <v>885012207128</v>
      </c>
      <c r="E27" s="1" t="s">
        <v>25</v>
      </c>
      <c r="F27" s="1" t="s">
        <v>414</v>
      </c>
      <c r="G27" s="1" t="s">
        <v>148</v>
      </c>
      <c r="H27" s="7">
        <v>6</v>
      </c>
      <c r="I27" s="7">
        <v>24</v>
      </c>
    </row>
    <row r="28" spans="1:9" s="1" customFormat="1" x14ac:dyDescent="0.25">
      <c r="A28" s="1" t="s">
        <v>491</v>
      </c>
      <c r="B28" s="1" t="s">
        <v>23</v>
      </c>
      <c r="C28" s="1" t="s">
        <v>24</v>
      </c>
      <c r="D28" s="2">
        <v>885012208124</v>
      </c>
      <c r="E28" s="1" t="s">
        <v>25</v>
      </c>
      <c r="F28" s="1" t="s">
        <v>414</v>
      </c>
      <c r="G28" s="1" t="s">
        <v>26</v>
      </c>
      <c r="H28" s="7">
        <v>9</v>
      </c>
      <c r="I28" s="7">
        <v>36</v>
      </c>
    </row>
    <row r="29" spans="1:9" s="1" customFormat="1" x14ac:dyDescent="0.25">
      <c r="A29" s="1" t="s">
        <v>491</v>
      </c>
      <c r="B29" s="1" t="s">
        <v>54</v>
      </c>
      <c r="C29" s="1" t="s">
        <v>55</v>
      </c>
      <c r="D29" s="2">
        <v>885012209069</v>
      </c>
      <c r="E29" s="1" t="s">
        <v>25</v>
      </c>
      <c r="F29" s="1" t="s">
        <v>414</v>
      </c>
      <c r="G29" s="1" t="s">
        <v>57</v>
      </c>
      <c r="H29" s="7">
        <v>11</v>
      </c>
      <c r="I29" s="7">
        <v>44</v>
      </c>
    </row>
    <row r="30" spans="1:9" s="1" customFormat="1" x14ac:dyDescent="0.25">
      <c r="A30" s="1" t="s">
        <v>491</v>
      </c>
      <c r="B30" s="1" t="s">
        <v>73</v>
      </c>
      <c r="C30" s="1" t="s">
        <v>92</v>
      </c>
      <c r="D30" s="2">
        <v>885012108012</v>
      </c>
      <c r="E30" s="1" t="s">
        <v>93</v>
      </c>
      <c r="F30" s="1" t="s">
        <v>414</v>
      </c>
      <c r="G30" s="1" t="s">
        <v>94</v>
      </c>
      <c r="H30" s="7">
        <v>1</v>
      </c>
      <c r="I30" s="7">
        <v>4</v>
      </c>
    </row>
    <row r="31" spans="1:9" s="1" customFormat="1" x14ac:dyDescent="0.25">
      <c r="A31" s="1" t="s">
        <v>491</v>
      </c>
      <c r="B31" s="1" t="s">
        <v>28</v>
      </c>
      <c r="C31" s="1" t="s">
        <v>29</v>
      </c>
      <c r="D31" s="2">
        <v>885012007055</v>
      </c>
      <c r="E31" s="1" t="s">
        <v>16</v>
      </c>
      <c r="F31" s="1" t="s">
        <v>414</v>
      </c>
      <c r="G31" s="1" t="s">
        <v>31</v>
      </c>
      <c r="H31" s="7">
        <v>7</v>
      </c>
      <c r="I31" s="7">
        <v>28</v>
      </c>
    </row>
    <row r="32" spans="1:9" s="1" customFormat="1" x14ac:dyDescent="0.25">
      <c r="A32" s="1" t="s">
        <v>491</v>
      </c>
      <c r="B32" s="1" t="s">
        <v>84</v>
      </c>
      <c r="C32" s="1" t="s">
        <v>85</v>
      </c>
      <c r="D32" s="2">
        <v>885012007056</v>
      </c>
      <c r="E32" s="1" t="s">
        <v>16</v>
      </c>
      <c r="F32" s="1" t="s">
        <v>414</v>
      </c>
      <c r="G32" s="1" t="s">
        <v>86</v>
      </c>
      <c r="H32" s="7">
        <v>1</v>
      </c>
      <c r="I32" s="7">
        <v>4</v>
      </c>
    </row>
    <row r="33" spans="1:9" s="1" customFormat="1" x14ac:dyDescent="0.25">
      <c r="A33" s="1" t="s">
        <v>491</v>
      </c>
      <c r="B33" s="1" t="s">
        <v>102</v>
      </c>
      <c r="C33" s="1" t="s">
        <v>103</v>
      </c>
      <c r="D33" s="2">
        <v>885012007063</v>
      </c>
      <c r="E33" s="1" t="s">
        <v>16</v>
      </c>
      <c r="F33" s="1" t="s">
        <v>414</v>
      </c>
      <c r="G33" s="1" t="s">
        <v>105</v>
      </c>
      <c r="H33" s="7">
        <v>12</v>
      </c>
      <c r="I33" s="7">
        <v>48</v>
      </c>
    </row>
    <row r="34" spans="1:9" s="1" customFormat="1" x14ac:dyDescent="0.25">
      <c r="A34" s="1" t="s">
        <v>491</v>
      </c>
      <c r="B34" s="1" t="s">
        <v>114</v>
      </c>
      <c r="C34" s="1" t="s">
        <v>115</v>
      </c>
      <c r="D34" s="2">
        <v>885012007065</v>
      </c>
      <c r="E34" s="1" t="s">
        <v>16</v>
      </c>
      <c r="F34" s="1" t="s">
        <v>414</v>
      </c>
      <c r="G34" s="1" t="s">
        <v>117</v>
      </c>
      <c r="H34" s="7">
        <v>1</v>
      </c>
      <c r="I34" s="7">
        <v>4</v>
      </c>
    </row>
    <row r="35" spans="1:9" s="1" customFormat="1" x14ac:dyDescent="0.25">
      <c r="A35" s="1" t="s">
        <v>491</v>
      </c>
      <c r="B35" s="1" t="s">
        <v>13</v>
      </c>
      <c r="C35" s="1" t="s">
        <v>14</v>
      </c>
      <c r="D35" s="2">
        <v>885012108022</v>
      </c>
      <c r="E35" s="1" t="s">
        <v>16</v>
      </c>
      <c r="F35" s="1" t="s">
        <v>414</v>
      </c>
      <c r="G35" s="1" t="s">
        <v>17</v>
      </c>
      <c r="H35" s="7">
        <v>3</v>
      </c>
      <c r="I35" s="7">
        <v>12</v>
      </c>
    </row>
    <row r="36" spans="1:9" s="1" customFormat="1" x14ac:dyDescent="0.25">
      <c r="A36" s="1" t="s">
        <v>491</v>
      </c>
      <c r="B36" s="1" t="s">
        <v>110</v>
      </c>
      <c r="C36" s="1" t="s">
        <v>111</v>
      </c>
      <c r="D36" s="2">
        <v>885012207100</v>
      </c>
      <c r="E36" s="1" t="s">
        <v>16</v>
      </c>
      <c r="F36" s="1" t="s">
        <v>414</v>
      </c>
      <c r="G36" s="1" t="s">
        <v>112</v>
      </c>
      <c r="H36" s="7">
        <v>8</v>
      </c>
      <c r="I36" s="7">
        <v>32</v>
      </c>
    </row>
    <row r="37" spans="1:9" s="1" customFormat="1" x14ac:dyDescent="0.25">
      <c r="A37" s="1" t="s">
        <v>496</v>
      </c>
      <c r="B37" s="1" t="s">
        <v>238</v>
      </c>
      <c r="C37" s="1" t="s">
        <v>239</v>
      </c>
      <c r="D37" s="2">
        <v>7447709150</v>
      </c>
      <c r="E37" s="1" t="s">
        <v>234</v>
      </c>
      <c r="F37" s="1" t="s">
        <v>414</v>
      </c>
      <c r="G37" s="1" t="s">
        <v>240</v>
      </c>
      <c r="H37" s="7">
        <v>1</v>
      </c>
      <c r="I37" s="7">
        <v>4</v>
      </c>
    </row>
    <row r="38" spans="1:9" s="1" customFormat="1" x14ac:dyDescent="0.25">
      <c r="A38" s="1" t="s">
        <v>496</v>
      </c>
      <c r="B38" s="1" t="s">
        <v>231</v>
      </c>
      <c r="C38" s="1" t="s">
        <v>232</v>
      </c>
      <c r="D38" s="2">
        <v>7447709220</v>
      </c>
      <c r="E38" s="1" t="s">
        <v>234</v>
      </c>
      <c r="F38" s="1" t="s">
        <v>414</v>
      </c>
      <c r="G38" s="1" t="s">
        <v>235</v>
      </c>
      <c r="H38" s="7">
        <v>1</v>
      </c>
      <c r="I38" s="7">
        <v>4</v>
      </c>
    </row>
    <row r="39" spans="1:9" s="1" customFormat="1" x14ac:dyDescent="0.25">
      <c r="A39" s="1" t="s">
        <v>492</v>
      </c>
      <c r="B39" s="1" t="s">
        <v>168</v>
      </c>
      <c r="C39" s="1" t="s">
        <v>165</v>
      </c>
      <c r="D39" s="2" t="s">
        <v>164</v>
      </c>
      <c r="E39" s="1" t="s">
        <v>417</v>
      </c>
      <c r="F39" s="1" t="s">
        <v>414</v>
      </c>
      <c r="G39" s="1" t="s">
        <v>167</v>
      </c>
      <c r="H39" s="7">
        <v>2</v>
      </c>
      <c r="I39" s="7">
        <v>8</v>
      </c>
    </row>
    <row r="40" spans="1:9" s="1" customFormat="1" x14ac:dyDescent="0.25">
      <c r="A40" s="1" t="s">
        <v>492</v>
      </c>
      <c r="B40" s="1" t="s">
        <v>174</v>
      </c>
      <c r="C40" s="1" t="s">
        <v>172</v>
      </c>
      <c r="D40" s="2" t="s">
        <v>171</v>
      </c>
      <c r="E40" s="1" t="s">
        <v>417</v>
      </c>
      <c r="F40" s="1" t="s">
        <v>414</v>
      </c>
      <c r="G40" s="1" t="s">
        <v>173</v>
      </c>
      <c r="H40" s="7">
        <v>1</v>
      </c>
      <c r="I40" s="7">
        <v>4</v>
      </c>
    </row>
    <row r="41" spans="1:9" s="1" customFormat="1" x14ac:dyDescent="0.25">
      <c r="A41" s="1" t="s">
        <v>492</v>
      </c>
      <c r="B41" s="1" t="s">
        <v>186</v>
      </c>
      <c r="C41" s="1" t="s">
        <v>184</v>
      </c>
      <c r="D41" s="2" t="s">
        <v>183</v>
      </c>
      <c r="E41" s="1" t="s">
        <v>417</v>
      </c>
      <c r="F41" s="1" t="s">
        <v>414</v>
      </c>
      <c r="G41" s="4" t="s">
        <v>185</v>
      </c>
      <c r="H41" s="7">
        <v>1</v>
      </c>
      <c r="I41" s="7">
        <v>4</v>
      </c>
    </row>
    <row r="42" spans="1:9" s="1" customFormat="1" x14ac:dyDescent="0.25">
      <c r="A42" s="1" t="s">
        <v>490</v>
      </c>
      <c r="B42" s="1" t="s">
        <v>362</v>
      </c>
      <c r="C42" s="1" t="s">
        <v>363</v>
      </c>
      <c r="D42" s="2">
        <v>580070763001</v>
      </c>
      <c r="E42" s="1" t="s">
        <v>365</v>
      </c>
      <c r="F42" s="1" t="s">
        <v>414</v>
      </c>
      <c r="G42" s="1" t="s">
        <v>366</v>
      </c>
      <c r="H42" s="7">
        <v>4</v>
      </c>
      <c r="I42" s="7">
        <v>16</v>
      </c>
    </row>
    <row r="43" spans="1:9" s="1" customFormat="1" x14ac:dyDescent="0.25">
      <c r="A43" s="1" t="s">
        <v>490</v>
      </c>
      <c r="B43" s="1" t="s">
        <v>351</v>
      </c>
      <c r="C43" s="1" t="s">
        <v>352</v>
      </c>
      <c r="D43" s="2">
        <v>560112120002</v>
      </c>
      <c r="E43" s="1" t="s">
        <v>258</v>
      </c>
      <c r="F43" s="1" t="s">
        <v>414</v>
      </c>
      <c r="G43" s="1" t="s">
        <v>353</v>
      </c>
      <c r="H43" s="7">
        <v>1</v>
      </c>
      <c r="I43" s="7">
        <v>4</v>
      </c>
    </row>
    <row r="44" spans="1:9" s="1" customFormat="1" x14ac:dyDescent="0.25">
      <c r="A44" s="1" t="s">
        <v>490</v>
      </c>
      <c r="B44" s="1" t="s">
        <v>303</v>
      </c>
      <c r="C44" s="1" t="s">
        <v>304</v>
      </c>
      <c r="D44" s="2">
        <v>560112120001</v>
      </c>
      <c r="E44" s="1" t="s">
        <v>258</v>
      </c>
      <c r="F44" s="1" t="s">
        <v>414</v>
      </c>
      <c r="G44" s="1" t="s">
        <v>305</v>
      </c>
      <c r="H44" s="7">
        <v>11</v>
      </c>
      <c r="I44" s="7">
        <v>44</v>
      </c>
    </row>
    <row r="45" spans="1:9" s="1" customFormat="1" x14ac:dyDescent="0.25">
      <c r="A45" s="1" t="s">
        <v>490</v>
      </c>
      <c r="B45" s="1" t="s">
        <v>308</v>
      </c>
      <c r="C45" s="1" t="s">
        <v>309</v>
      </c>
      <c r="D45" s="2">
        <v>560112120003</v>
      </c>
      <c r="E45" s="1" t="s">
        <v>258</v>
      </c>
      <c r="F45" s="1" t="s">
        <v>414</v>
      </c>
      <c r="G45" s="1" t="s">
        <v>310</v>
      </c>
      <c r="H45" s="7">
        <v>1</v>
      </c>
      <c r="I45" s="7">
        <v>4</v>
      </c>
    </row>
    <row r="46" spans="1:9" s="1" customFormat="1" x14ac:dyDescent="0.25">
      <c r="A46" s="1" t="s">
        <v>490</v>
      </c>
      <c r="B46" s="1" t="s">
        <v>332</v>
      </c>
      <c r="C46" s="1" t="s">
        <v>333</v>
      </c>
      <c r="D46" s="2">
        <v>560112120004</v>
      </c>
      <c r="E46" s="1" t="s">
        <v>258</v>
      </c>
      <c r="F46" s="1" t="s">
        <v>414</v>
      </c>
      <c r="G46" s="1" t="s">
        <v>334</v>
      </c>
      <c r="H46" s="7">
        <v>8</v>
      </c>
      <c r="I46" s="7">
        <v>32</v>
      </c>
    </row>
    <row r="47" spans="1:9" s="1" customFormat="1" x14ac:dyDescent="0.25">
      <c r="A47" s="1" t="s">
        <v>490</v>
      </c>
      <c r="B47" s="1" t="s">
        <v>314</v>
      </c>
      <c r="C47" s="1" t="s">
        <v>315</v>
      </c>
      <c r="D47" s="2">
        <v>560112120007</v>
      </c>
      <c r="E47" s="1" t="s">
        <v>258</v>
      </c>
      <c r="F47" s="1" t="s">
        <v>414</v>
      </c>
      <c r="G47" s="1" t="s">
        <v>316</v>
      </c>
      <c r="H47" s="7">
        <v>1</v>
      </c>
      <c r="I47" s="7">
        <v>4</v>
      </c>
    </row>
    <row r="48" spans="1:9" s="1" customFormat="1" x14ac:dyDescent="0.25">
      <c r="A48" s="1" t="s">
        <v>490</v>
      </c>
      <c r="B48" s="1" t="s">
        <v>292</v>
      </c>
      <c r="C48" s="1" t="s">
        <v>293</v>
      </c>
      <c r="D48" s="2">
        <v>560112120009</v>
      </c>
      <c r="E48" s="1" t="s">
        <v>258</v>
      </c>
      <c r="F48" s="1" t="s">
        <v>414</v>
      </c>
      <c r="G48" s="1" t="s">
        <v>294</v>
      </c>
      <c r="H48" s="7">
        <v>2</v>
      </c>
      <c r="I48" s="7">
        <v>8</v>
      </c>
    </row>
    <row r="49" spans="1:9" s="1" customFormat="1" x14ac:dyDescent="0.25">
      <c r="A49" s="1" t="s">
        <v>490</v>
      </c>
      <c r="B49" s="1" t="s">
        <v>288</v>
      </c>
      <c r="C49" s="1" t="s">
        <v>289</v>
      </c>
      <c r="D49" s="2">
        <v>560112120013</v>
      </c>
      <c r="E49" s="1" t="s">
        <v>258</v>
      </c>
      <c r="F49" s="1" t="s">
        <v>414</v>
      </c>
      <c r="G49" s="1" t="s">
        <v>290</v>
      </c>
      <c r="H49" s="7">
        <v>2</v>
      </c>
      <c r="I49" s="7">
        <v>8</v>
      </c>
    </row>
    <row r="50" spans="1:9" s="1" customFormat="1" x14ac:dyDescent="0.25">
      <c r="A50" s="1" t="s">
        <v>490</v>
      </c>
      <c r="B50" s="1" t="s">
        <v>262</v>
      </c>
      <c r="C50" s="1" t="s">
        <v>263</v>
      </c>
      <c r="D50" s="2">
        <v>560112120019</v>
      </c>
      <c r="E50" s="1" t="s">
        <v>258</v>
      </c>
      <c r="F50" s="1" t="s">
        <v>414</v>
      </c>
      <c r="G50" s="1" t="s">
        <v>265</v>
      </c>
      <c r="H50" s="7">
        <v>1</v>
      </c>
      <c r="I50" s="7">
        <v>4</v>
      </c>
    </row>
    <row r="51" spans="1:9" s="1" customFormat="1" x14ac:dyDescent="0.25">
      <c r="A51" s="1" t="s">
        <v>490</v>
      </c>
      <c r="B51" s="1" t="s">
        <v>328</v>
      </c>
      <c r="C51" s="1" t="s">
        <v>329</v>
      </c>
      <c r="D51" s="2">
        <v>560112120023</v>
      </c>
      <c r="E51" s="1" t="s">
        <v>258</v>
      </c>
      <c r="F51" s="1" t="s">
        <v>414</v>
      </c>
      <c r="G51" s="1" t="s">
        <v>330</v>
      </c>
      <c r="H51" s="7">
        <v>4</v>
      </c>
      <c r="I51" s="7">
        <v>16</v>
      </c>
    </row>
    <row r="52" spans="1:9" s="1" customFormat="1" x14ac:dyDescent="0.25">
      <c r="A52" s="1" t="s">
        <v>490</v>
      </c>
      <c r="B52" s="1" t="s">
        <v>280</v>
      </c>
      <c r="C52" s="1" t="s">
        <v>281</v>
      </c>
      <c r="D52" s="2">
        <v>560112120027</v>
      </c>
      <c r="E52" s="1" t="s">
        <v>258</v>
      </c>
      <c r="F52" s="1" t="s">
        <v>414</v>
      </c>
      <c r="G52" s="1" t="s">
        <v>278</v>
      </c>
      <c r="H52" s="7">
        <v>9</v>
      </c>
      <c r="I52" s="7">
        <v>36</v>
      </c>
    </row>
    <row r="53" spans="1:9" s="1" customFormat="1" x14ac:dyDescent="0.25">
      <c r="A53" s="1" t="s">
        <v>490</v>
      </c>
      <c r="B53" s="1" t="s">
        <v>276</v>
      </c>
      <c r="C53" s="1" t="s">
        <v>277</v>
      </c>
      <c r="D53" s="2">
        <v>560112120028</v>
      </c>
      <c r="E53" s="1" t="s">
        <v>258</v>
      </c>
      <c r="F53" s="1" t="s">
        <v>414</v>
      </c>
      <c r="G53" s="1" t="s">
        <v>278</v>
      </c>
      <c r="H53" s="7">
        <v>3</v>
      </c>
      <c r="I53" s="7">
        <v>12</v>
      </c>
    </row>
    <row r="54" spans="1:9" s="1" customFormat="1" x14ac:dyDescent="0.25">
      <c r="A54" s="1" t="s">
        <v>490</v>
      </c>
      <c r="B54" s="1" t="s">
        <v>355</v>
      </c>
      <c r="C54" s="1" t="s">
        <v>356</v>
      </c>
      <c r="D54" s="2">
        <v>560112120031</v>
      </c>
      <c r="E54" s="1" t="s">
        <v>258</v>
      </c>
      <c r="F54" s="1" t="s">
        <v>414</v>
      </c>
      <c r="G54" s="1" t="s">
        <v>278</v>
      </c>
      <c r="H54" s="7">
        <v>1</v>
      </c>
      <c r="I54" s="7">
        <v>4</v>
      </c>
    </row>
    <row r="55" spans="1:9" s="1" customFormat="1" x14ac:dyDescent="0.25">
      <c r="A55" s="1" t="s">
        <v>490</v>
      </c>
      <c r="B55" s="1" t="s">
        <v>318</v>
      </c>
      <c r="C55" s="1" t="s">
        <v>319</v>
      </c>
      <c r="D55" s="2">
        <v>560112120033</v>
      </c>
      <c r="E55" s="1" t="s">
        <v>258</v>
      </c>
      <c r="F55" s="1" t="s">
        <v>414</v>
      </c>
      <c r="G55" s="1" t="s">
        <v>278</v>
      </c>
      <c r="H55" s="7">
        <v>1</v>
      </c>
      <c r="I55" s="7">
        <v>4</v>
      </c>
    </row>
    <row r="56" spans="1:9" s="1" customFormat="1" x14ac:dyDescent="0.25">
      <c r="A56" s="1" t="s">
        <v>490</v>
      </c>
      <c r="B56" s="1" t="s">
        <v>296</v>
      </c>
      <c r="C56" s="1" t="s">
        <v>297</v>
      </c>
      <c r="D56" s="2">
        <v>560112120034</v>
      </c>
      <c r="E56" s="1" t="s">
        <v>258</v>
      </c>
      <c r="F56" s="1" t="s">
        <v>414</v>
      </c>
      <c r="G56" s="1" t="s">
        <v>278</v>
      </c>
      <c r="H56" s="7">
        <v>1</v>
      </c>
      <c r="I56" s="7">
        <v>4</v>
      </c>
    </row>
    <row r="57" spans="1:9" s="1" customFormat="1" x14ac:dyDescent="0.25">
      <c r="A57" s="1" t="s">
        <v>490</v>
      </c>
      <c r="B57" s="1" t="s">
        <v>255</v>
      </c>
      <c r="C57" s="1" t="s">
        <v>256</v>
      </c>
      <c r="D57" s="2">
        <v>560112132019</v>
      </c>
      <c r="E57" s="1" t="s">
        <v>258</v>
      </c>
      <c r="F57" s="1" t="s">
        <v>414</v>
      </c>
      <c r="G57" s="1" t="s">
        <v>259</v>
      </c>
      <c r="H57" s="7">
        <v>1</v>
      </c>
      <c r="I57" s="7">
        <v>4</v>
      </c>
    </row>
    <row r="58" spans="1:9" s="1" customFormat="1" x14ac:dyDescent="0.25">
      <c r="A58" s="1" t="s">
        <v>490</v>
      </c>
      <c r="B58" s="1" t="s">
        <v>267</v>
      </c>
      <c r="C58" s="1" t="s">
        <v>268</v>
      </c>
      <c r="D58" s="2">
        <v>560112132032</v>
      </c>
      <c r="E58" s="1" t="s">
        <v>258</v>
      </c>
      <c r="F58" s="1" t="s">
        <v>414</v>
      </c>
      <c r="G58" s="1" t="s">
        <v>269</v>
      </c>
      <c r="H58" s="7">
        <v>7</v>
      </c>
      <c r="I58" s="7">
        <v>28</v>
      </c>
    </row>
    <row r="59" spans="1:9" s="1" customFormat="1" x14ac:dyDescent="0.25">
      <c r="D59" s="2"/>
      <c r="H59" s="8">
        <f>SUM(Tabelle2[Quantity/Board])</f>
        <v>184</v>
      </c>
      <c r="I59" s="7"/>
    </row>
  </sheetData>
  <phoneticPr fontId="19" type="noConversion"/>
  <hyperlinks>
    <hyperlink ref="G2" r:id="rId1" display="https://www.infineon.com/assets/row/public/documents/24/49/infineon-1edl8011-datasheet-en.pdf" xr:uid="{ADCF9104-FCA6-4745-92CA-7037DB9CFD33}"/>
    <hyperlink ref="G3" r:id="rId2" display="https://www.infineon.com/assets/row/public/documents/60/49/infineon-2ed2304s06f-datasheet-en.pdf" xr:uid="{D435F9D8-539E-4917-984A-FD2190628752}"/>
    <hyperlink ref="G5" r:id="rId3" display="https://www.infineon.com/assets/row/public/documents/24/49/infineon-irf100p218-datasheet-en.pdf" xr:uid="{C590D08D-F741-44EC-B307-E15090D09F97}"/>
    <hyperlink ref="G9" r:id="rId4" display="https://www.infineon.com/assets/row/public/documents/10/49/infineon-tls4125d0ep-v50-datasheet-en.pdf" xr:uid="{CD54EF32-59D4-49D5-A427-46587105B84B}"/>
    <hyperlink ref="G8" r:id="rId5" display="https://www.infineon.com/assets/row/public/documents/10/49/infineon-tls208d1-ds-en.pdf" xr:uid="{CC40FF6E-100E-4259-9C3D-C0169CD8940D}"/>
    <hyperlink ref="G7" r:id="rId6" display="https://www.infineon.com/assets/row/public/documents/10/49/infineon-tls208d1-ds-en.pdf" xr:uid="{60D0E723-50C8-429C-905D-88C8AB2032CD}"/>
    <hyperlink ref="G4" r:id="rId7" display="https://www.infineon.com/evaluation-board/KIT-PSC3M5-CC1" xr:uid="{39364722-961F-4E43-BD22-05F5822BE6F9}"/>
    <hyperlink ref="G20" r:id="rId8" display="https://www.we-online.com/components/products/datasheet/691219610002.pdf" xr:uid="{9096422D-1973-4EBC-A65B-0986B02E1EFC}"/>
    <hyperlink ref="G15" r:id="rId9" display="https://www.we-online.com/components/products/datasheet/691219610003.pdf" xr:uid="{D44C2099-3139-4F81-9C20-8781B10DBA0B}"/>
    <hyperlink ref="G12" r:id="rId10" xr:uid="{319B5790-53C6-4A89-B90C-10648232A123}"/>
    <hyperlink ref="G31" r:id="rId11" display="https://www.onsemi.com/pdf/datasheet/bzx84c2v4lt1-d.pdf" xr:uid="{0C788FDC-1170-41C9-A031-987D6AF1B3E6}"/>
    <hyperlink ref="G35" r:id="rId12" display="https://www.infineon.com/assets/row/public/documents/24/49/infineon-irf100p218-datasheet-en.pdf" xr:uid="{05EB1D63-DE5E-4D02-8D79-E3EF853E886B}"/>
    <hyperlink ref="G36" r:id="rId13" display="https://www.infineon.com/assets/row/public/documents/24/49/infineon-irf100p218-datasheet-en.pdf" xr:uid="{2AA9C8C9-DBCB-425E-98DA-91D2F86E4798}"/>
    <hyperlink ref="G41" r:id="rId14" xr:uid="{079FBE76-A4F1-4F76-9943-6537BB7DE747}"/>
    <hyperlink ref="G18" r:id="rId15" location="60800213421" display="https://www.we-online.com/en/components/products/PHD_2_00_JUMPER_W_TEST_POINT_60800213421 - 60800213421" xr:uid="{EE9235B9-2D5B-489E-B53C-2B010C9F7E49}"/>
    <hyperlink ref="G16" r:id="rId16" display="https://www.we-online.com/de/components/products/TBL_3_50_3611_VERTICAL_69136110000X" xr:uid="{1584FA33-7614-40CA-8EC4-2389C6781025}"/>
    <hyperlink ref="G17" r:id="rId17" display="https://www.we-online.com/de/components/products/TBL_3_50_3611_VERTICAL_69136110000X" xr:uid="{C5694D6F-3859-40CC-999F-689B608643E3}"/>
    <hyperlink ref="G19" r:id="rId18" location="971120365" display="https://www.we-online.com/en/components/products/SPAIE_PLASTIC_SPACER_STUD_METRIC_INTERNAL_EXTERNAL - 971120365" xr:uid="{9231C4C3-3172-4736-BDC3-3D098628DE7B}"/>
    <hyperlink ref="G21" r:id="rId19" xr:uid="{A41661D5-283A-4566-91C9-5543C51D7877}"/>
  </hyperlinks>
  <pageMargins left="0.7" right="0.7" top="0.78740157499999996" bottom="0.78740157499999996" header="0.3" footer="0.3"/>
  <tableParts count="1"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9926-3E65-48E5-8FCB-DD731ACB2EF1}">
  <dimension ref="A1:XEX20"/>
  <sheetViews>
    <sheetView zoomScale="80" workbookViewId="0">
      <selection activeCell="F8" sqref="F8"/>
    </sheetView>
  </sheetViews>
  <sheetFormatPr defaultColWidth="11.5703125" defaultRowHeight="15" x14ac:dyDescent="0.25"/>
  <cols>
    <col min="1" max="2" width="11.85546875" bestFit="1" customWidth="1"/>
    <col min="3" max="3" width="45.5703125" bestFit="1" customWidth="1"/>
    <col min="4" max="4" width="23.7109375" bestFit="1" customWidth="1"/>
    <col min="5" max="5" width="79.5703125" bestFit="1" customWidth="1"/>
    <col min="6" max="6" width="20.7109375" bestFit="1" customWidth="1"/>
    <col min="7" max="7" width="115.7109375" bestFit="1" customWidth="1"/>
    <col min="8" max="8" width="18.5703125" bestFit="1" customWidth="1"/>
    <col min="9" max="9" width="13" style="7" bestFit="1" customWidth="1"/>
    <col min="10" max="10" width="13.28515625" style="7" bestFit="1" customWidth="1"/>
  </cols>
  <sheetData>
    <row r="1" spans="1:16378" x14ac:dyDescent="0.25">
      <c r="A1" s="5" t="s">
        <v>0</v>
      </c>
      <c r="B1" s="5" t="s">
        <v>1</v>
      </c>
      <c r="C1" s="5" t="s">
        <v>2</v>
      </c>
      <c r="D1" s="6" t="s">
        <v>9</v>
      </c>
      <c r="E1" s="5" t="s">
        <v>4</v>
      </c>
      <c r="F1" s="5" t="s">
        <v>413</v>
      </c>
      <c r="G1" s="5" t="s">
        <v>5</v>
      </c>
      <c r="H1" s="5" t="s">
        <v>518</v>
      </c>
      <c r="I1" s="5" t="s">
        <v>532</v>
      </c>
      <c r="J1" s="5" t="s">
        <v>530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</row>
    <row r="2" spans="1:16378" x14ac:dyDescent="0.25">
      <c r="A2" s="1" t="s">
        <v>176</v>
      </c>
      <c r="B2" s="1" t="s">
        <v>176</v>
      </c>
      <c r="C2" s="1" t="s">
        <v>512</v>
      </c>
      <c r="D2" s="2" t="s">
        <v>176</v>
      </c>
      <c r="E2" s="1" t="s">
        <v>513</v>
      </c>
      <c r="F2" s="1" t="s">
        <v>176</v>
      </c>
      <c r="G2" s="3"/>
      <c r="H2" s="7">
        <v>4</v>
      </c>
      <c r="I2" s="7">
        <f>Tabelle4[[#This Row],[Quantity/Board]]*5</f>
        <v>20</v>
      </c>
      <c r="J2" s="7" t="s">
        <v>176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</row>
    <row r="3" spans="1:16378" x14ac:dyDescent="0.25">
      <c r="A3" s="1" t="s">
        <v>176</v>
      </c>
      <c r="B3" s="1" t="s">
        <v>176</v>
      </c>
      <c r="C3" s="1" t="s">
        <v>516</v>
      </c>
      <c r="D3" s="2" t="s">
        <v>176</v>
      </c>
      <c r="E3" s="1" t="s">
        <v>511</v>
      </c>
      <c r="F3" s="1" t="s">
        <v>176</v>
      </c>
      <c r="G3" s="4"/>
      <c r="H3" s="7">
        <v>4</v>
      </c>
      <c r="I3" s="7">
        <f>Tabelle4[[#This Row],[Quantity/Board]]*5</f>
        <v>20</v>
      </c>
      <c r="J3" s="7" t="s">
        <v>176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</row>
    <row r="4" spans="1:16378" x14ac:dyDescent="0.25">
      <c r="A4" s="1" t="s">
        <v>176</v>
      </c>
      <c r="B4" s="1" t="s">
        <v>176</v>
      </c>
      <c r="C4" s="1" t="s">
        <v>508</v>
      </c>
      <c r="D4" s="2" t="s">
        <v>176</v>
      </c>
      <c r="E4" s="1" t="s">
        <v>521</v>
      </c>
      <c r="F4" s="1" t="s">
        <v>176</v>
      </c>
      <c r="G4" s="3"/>
      <c r="H4" s="7">
        <v>11</v>
      </c>
      <c r="I4" s="7">
        <f>Tabelle4[[#This Row],[Quantity/Board]]*5</f>
        <v>55</v>
      </c>
      <c r="J4" s="7" t="s">
        <v>176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</row>
    <row r="5" spans="1:16378" x14ac:dyDescent="0.25">
      <c r="A5" s="1" t="s">
        <v>176</v>
      </c>
      <c r="B5" s="1" t="s">
        <v>176</v>
      </c>
      <c r="C5" s="1" t="s">
        <v>524</v>
      </c>
      <c r="D5" t="s">
        <v>525</v>
      </c>
      <c r="E5" s="1" t="s">
        <v>520</v>
      </c>
      <c r="F5" s="1" t="s">
        <v>526</v>
      </c>
      <c r="G5" s="3" t="s">
        <v>527</v>
      </c>
      <c r="H5" s="7">
        <v>7</v>
      </c>
      <c r="I5" s="7">
        <f>Tabelle4[[#This Row],[Quantity/Board]]*5</f>
        <v>35</v>
      </c>
      <c r="J5" s="7" t="s">
        <v>523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</row>
    <row r="6" spans="1:16378" x14ac:dyDescent="0.25">
      <c r="A6" s="1" t="s">
        <v>176</v>
      </c>
      <c r="B6" s="1" t="s">
        <v>468</v>
      </c>
      <c r="C6" s="1" t="s">
        <v>344</v>
      </c>
      <c r="D6" s="2" t="s">
        <v>346</v>
      </c>
      <c r="E6" s="1" t="s">
        <v>494</v>
      </c>
      <c r="F6" s="1" t="s">
        <v>465</v>
      </c>
      <c r="G6" s="3" t="s">
        <v>466</v>
      </c>
      <c r="H6" s="7">
        <v>2</v>
      </c>
      <c r="I6" s="7">
        <f>Tabelle4[[#This Row],[Quantity/Board]]*5</f>
        <v>10</v>
      </c>
      <c r="J6" s="7" t="s">
        <v>523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</row>
    <row r="7" spans="1:16378" x14ac:dyDescent="0.25">
      <c r="A7" s="1" t="s">
        <v>176</v>
      </c>
      <c r="B7" s="1" t="s">
        <v>176</v>
      </c>
      <c r="C7" s="1" t="s">
        <v>242</v>
      </c>
      <c r="D7" s="2" t="s">
        <v>242</v>
      </c>
      <c r="E7" s="1" t="s">
        <v>450</v>
      </c>
      <c r="F7" s="1" t="s">
        <v>448</v>
      </c>
      <c r="G7" s="3" t="s">
        <v>449</v>
      </c>
      <c r="H7" s="7">
        <v>1</v>
      </c>
      <c r="I7" s="7">
        <f>Tabelle4[[#This Row],[Quantity/Board]]*5</f>
        <v>5</v>
      </c>
      <c r="J7" s="7" t="s">
        <v>523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</row>
    <row r="8" spans="1:16378" x14ac:dyDescent="0.25">
      <c r="A8" s="1" t="s">
        <v>176</v>
      </c>
      <c r="B8" s="1" t="s">
        <v>176</v>
      </c>
      <c r="C8" s="1" t="s">
        <v>177</v>
      </c>
      <c r="D8" s="2" t="s">
        <v>178</v>
      </c>
      <c r="E8" s="1" t="s">
        <v>418</v>
      </c>
      <c r="F8" s="1" t="s">
        <v>419</v>
      </c>
      <c r="G8" s="3" t="s">
        <v>420</v>
      </c>
      <c r="H8" s="7">
        <v>5</v>
      </c>
      <c r="I8" s="7">
        <f>Tabelle4[[#This Row],[Quantity/Board]]*5</f>
        <v>25</v>
      </c>
      <c r="J8" s="7" t="s">
        <v>523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</row>
    <row r="9" spans="1:16378" x14ac:dyDescent="0.25">
      <c r="A9" s="1" t="s">
        <v>176</v>
      </c>
      <c r="B9" s="1" t="s">
        <v>176</v>
      </c>
      <c r="C9" s="1" t="s">
        <v>197</v>
      </c>
      <c r="D9" t="s">
        <v>429</v>
      </c>
      <c r="E9" s="1" t="s">
        <v>428</v>
      </c>
      <c r="F9" s="1" t="s">
        <v>426</v>
      </c>
      <c r="G9" s="3" t="s">
        <v>427</v>
      </c>
      <c r="H9" s="7">
        <v>1</v>
      </c>
      <c r="I9" s="7">
        <f>Tabelle4[[#This Row],[Quantity/Board]]*5</f>
        <v>5</v>
      </c>
      <c r="J9" s="7" t="s">
        <v>522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</row>
    <row r="10" spans="1:16378" x14ac:dyDescent="0.25">
      <c r="A10" s="2" t="s">
        <v>176</v>
      </c>
      <c r="B10" s="2" t="s">
        <v>176</v>
      </c>
      <c r="C10" s="1" t="s">
        <v>216</v>
      </c>
      <c r="D10" s="2" t="s">
        <v>216</v>
      </c>
      <c r="E10" s="1" t="s">
        <v>495</v>
      </c>
      <c r="F10" s="1" t="s">
        <v>225</v>
      </c>
      <c r="G10" s="3" t="s">
        <v>437</v>
      </c>
      <c r="H10" s="7">
        <v>2</v>
      </c>
      <c r="I10" s="7">
        <f>Tabelle4[[#This Row],[Quantity/Board]]*5</f>
        <v>10</v>
      </c>
      <c r="J10" s="7" t="s">
        <v>523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</row>
    <row r="11" spans="1:16378" x14ac:dyDescent="0.25">
      <c r="A11" s="2" t="s">
        <v>176</v>
      </c>
      <c r="B11" s="2" t="s">
        <v>176</v>
      </c>
      <c r="C11" s="1" t="s">
        <v>223</v>
      </c>
      <c r="D11" s="2" t="s">
        <v>442</v>
      </c>
      <c r="E11" s="1" t="s">
        <v>443</v>
      </c>
      <c r="F11" s="1" t="s">
        <v>225</v>
      </c>
      <c r="G11" s="3" t="s">
        <v>444</v>
      </c>
      <c r="H11" s="7">
        <v>1</v>
      </c>
      <c r="I11" s="7">
        <f>Tabelle4[[#This Row],[Quantity/Board]]*5</f>
        <v>5</v>
      </c>
      <c r="J11" s="7" t="s">
        <v>523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</row>
    <row r="12" spans="1:16378" x14ac:dyDescent="0.25">
      <c r="A12" s="1" t="s">
        <v>176</v>
      </c>
      <c r="B12" s="1" t="s">
        <v>176</v>
      </c>
      <c r="C12" s="1" t="s">
        <v>384</v>
      </c>
      <c r="D12" t="s">
        <v>477</v>
      </c>
      <c r="E12" s="1" t="s">
        <v>474</v>
      </c>
      <c r="F12" s="1" t="s">
        <v>475</v>
      </c>
      <c r="G12" s="3" t="s">
        <v>476</v>
      </c>
      <c r="H12" s="7">
        <v>1</v>
      </c>
      <c r="I12" s="7">
        <f>Tabelle4[[#This Row],[Quantity/Board]]*5</f>
        <v>5</v>
      </c>
      <c r="J12" s="7" t="s">
        <v>523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</row>
    <row r="13" spans="1:16378" x14ac:dyDescent="0.25">
      <c r="A13" s="1" t="s">
        <v>176</v>
      </c>
      <c r="B13" s="1" t="s">
        <v>176</v>
      </c>
      <c r="C13" s="1" t="s">
        <v>387</v>
      </c>
      <c r="D13" s="2" t="s">
        <v>390</v>
      </c>
      <c r="E13" s="1" t="s">
        <v>478</v>
      </c>
      <c r="F13" s="1" t="s">
        <v>389</v>
      </c>
      <c r="G13" s="3" t="s">
        <v>479</v>
      </c>
      <c r="H13" s="7">
        <v>4</v>
      </c>
      <c r="I13" s="7">
        <f>Tabelle4[[#This Row],[Quantity/Board]]*5</f>
        <v>20</v>
      </c>
      <c r="J13" s="7" t="s">
        <v>523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</row>
    <row r="14" spans="1:16378" x14ac:dyDescent="0.25">
      <c r="A14" s="1" t="s">
        <v>176</v>
      </c>
      <c r="B14" s="1" t="s">
        <v>176</v>
      </c>
      <c r="C14" s="1" t="s">
        <v>376</v>
      </c>
      <c r="D14" s="2" t="s">
        <v>376</v>
      </c>
      <c r="E14" s="1" t="s">
        <v>489</v>
      </c>
      <c r="F14" s="1" t="s">
        <v>389</v>
      </c>
      <c r="G14" s="3" t="s">
        <v>469</v>
      </c>
      <c r="H14" s="7">
        <v>1</v>
      </c>
      <c r="I14" s="7">
        <f>Tabelle4[[#This Row],[Quantity/Board]]*5</f>
        <v>5</v>
      </c>
      <c r="J14" s="7" t="s">
        <v>523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</row>
    <row r="15" spans="1:16378" x14ac:dyDescent="0.25">
      <c r="A15" s="1" t="s">
        <v>176</v>
      </c>
      <c r="B15" s="1" t="s">
        <v>176</v>
      </c>
      <c r="C15" s="1" t="s">
        <v>403</v>
      </c>
      <c r="D15" s="2" t="s">
        <v>405</v>
      </c>
      <c r="E15" s="1" t="s">
        <v>488</v>
      </c>
      <c r="F15" s="1" t="s">
        <v>389</v>
      </c>
      <c r="G15" s="3" t="s">
        <v>485</v>
      </c>
      <c r="H15" s="7">
        <v>1</v>
      </c>
      <c r="I15" s="7">
        <f>Tabelle4[[#This Row],[Quantity/Board]]*5</f>
        <v>5</v>
      </c>
      <c r="J15" s="7" t="s">
        <v>523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</row>
    <row r="16" spans="1:16378" x14ac:dyDescent="0.25">
      <c r="A16" s="1" t="s">
        <v>176</v>
      </c>
      <c r="B16" s="1" t="s">
        <v>176</v>
      </c>
      <c r="C16" s="1" t="s">
        <v>398</v>
      </c>
      <c r="D16" s="2" t="s">
        <v>400</v>
      </c>
      <c r="E16" s="1" t="s">
        <v>483</v>
      </c>
      <c r="F16" s="1" t="s">
        <v>389</v>
      </c>
      <c r="G16" s="3" t="s">
        <v>484</v>
      </c>
      <c r="H16" s="7">
        <v>2</v>
      </c>
      <c r="I16" s="7">
        <f>Tabelle4[[#This Row],[Quantity/Board]]*5</f>
        <v>10</v>
      </c>
      <c r="J16" s="7" t="s">
        <v>523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</row>
    <row r="17" spans="1:8" x14ac:dyDescent="0.25">
      <c r="A17" s="1"/>
      <c r="B17" s="1"/>
      <c r="C17" s="1"/>
      <c r="D17" s="2"/>
      <c r="E17" s="1"/>
      <c r="F17" s="1"/>
      <c r="G17" s="9"/>
      <c r="H17" s="7">
        <f>SUM(Tabelle4[Quantity/Board])</f>
        <v>47</v>
      </c>
    </row>
    <row r="19" spans="1:8" x14ac:dyDescent="0.25">
      <c r="A19" t="s">
        <v>528</v>
      </c>
      <c r="B19" s="10" t="s">
        <v>528</v>
      </c>
      <c r="C19" s="3" t="s">
        <v>533</v>
      </c>
    </row>
    <row r="20" spans="1:8" x14ac:dyDescent="0.25">
      <c r="A20" t="s">
        <v>529</v>
      </c>
      <c r="B20" t="s">
        <v>529</v>
      </c>
      <c r="C20" s="3" t="s">
        <v>531</v>
      </c>
    </row>
  </sheetData>
  <hyperlinks>
    <hyperlink ref="G6" r:id="rId1" display="https://www.bourns.com/docs/Product-Datasheets/3386.pdf" xr:uid="{090C92E1-A760-4694-A226-00AF6960FDF5}"/>
    <hyperlink ref="G7" r:id="rId2" display="https://www.tdk-electronics.tdk.com/inf/50/db/ntc/NTC_SMD_Standard_series_0805.pdf" xr:uid="{885A32EA-F556-4F40-9B8B-B96675E577B6}"/>
    <hyperlink ref="G9" r:id="rId3" display="https://docs.rs-online.com/3b50/A700000010244389.pdf" xr:uid="{2311529A-9B62-4FCD-9C65-8FF5DF55C68B}"/>
    <hyperlink ref="G8" r:id="rId4" display="https://www.onsemi.com/pdf/datasheet/bzx84c2v4lt1-d.pdf" xr:uid="{A57648E4-0D04-47D2-A049-17F899929F04}"/>
    <hyperlink ref="G10" r:id="rId5" location="distributorinfo" display="https://www.samtec.com/de/products/erf8-040-05.0-l-dv-l-k-tr - distributorinfo" xr:uid="{B877182B-DBE8-414A-9ECE-A119D4461D51}"/>
    <hyperlink ref="G11" r:id="rId6" display="https://www.samtec.com/de/products/hsec8-160-01-l-dv-a-bl" xr:uid="{BE1B5BF1-2066-449A-B9AA-98E47C46FE48}"/>
    <hyperlink ref="G13" r:id="rId7" display="https://www.ti.com/lit/ds/symlink/ina240.pdf?ts=1753933408750" xr:uid="{6B314E1E-848C-4FF8-B1D0-073F80AE9F1C}"/>
    <hyperlink ref="G14" r:id="rId8" display="https://www.ti.com/lit/ds/symlink/lm5013.pdf?ts=1753887799318&amp;ref_url=https%253A%252F%252Fwww.ti.com%252Fpower-management%252Facdc-dcdc-converters%252Fproducts.html" xr:uid="{346BA5B9-448C-4EED-B692-A96FCE59F224}"/>
    <hyperlink ref="G12" r:id="rId9" display="https://docs.rs-online.com/9871/0900766b8126d336.pdf" xr:uid="{AB11867D-4144-4A2E-9854-765662D60A6C}"/>
    <hyperlink ref="G15" r:id="rId10" display="https://www.ti.com/lit/ds/symlink/txu0104.pdf?ts=1753915550282&amp;ref_url=https%253A%252F%252Fwww.ti.com%252Fproduct-category%252Flogic-voltage-translation%252Fvoltage-translators-level-shifters%252Fvoltage-translators%252Fproducts.html" xr:uid="{1619217C-47FB-406E-BF4F-F80AFB4C9903}"/>
    <hyperlink ref="G16" r:id="rId11" display="https://www.ti.com/lit/ds/symlink/txu0304.pdf?ts=1753955427569&amp;ref_url=https%253A%252F%252Fwww.ti.com%252Fproduct%252FTXU0304%252Fpart-details%252FTXU0304DTRR" xr:uid="{D076F382-0F64-46D7-92D4-CE4FE1A28DB9}"/>
    <hyperlink ref="G5" r:id="rId12" display="https://www.digikey.at/en/products/detail/bergquist/SP400-0-007-00-104/529921" xr:uid="{810DB941-FD33-4130-9FE2-A9C6DBF0026A}"/>
    <hyperlink ref="C20" r:id="rId13" display="https://at.rs-online.com/web/p/kuhlkorper/7898554" xr:uid="{A0649DDF-D513-42FC-B635-A90977FA5D09}"/>
  </hyperlinks>
  <pageMargins left="0.7" right="0.7" top="0.78740157499999996" bottom="0.78740157499999996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PowerBoard1 v129</vt:lpstr>
      <vt:lpstr>Zusammengefasst v129</vt:lpstr>
      <vt:lpstr>Infineon, Würth</vt:lpstr>
      <vt:lpstr>Sonstiges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Hausberger</dc:creator>
  <cp:lastModifiedBy>HAUSBERGER Simon, SchülerIn</cp:lastModifiedBy>
  <cp:lastPrinted>2025-08-04T13:33:57Z</cp:lastPrinted>
  <dcterms:created xsi:type="dcterms:W3CDTF">2025-07-31T08:56:36Z</dcterms:created>
  <dcterms:modified xsi:type="dcterms:W3CDTF">2026-03-01T10:04:34Z</dcterms:modified>
</cp:coreProperties>
</file>